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420" windowWidth="19875" windowHeight="7650"/>
  </bookViews>
  <sheets>
    <sheet name="Welcome" sheetId="3" r:id="rId1"/>
    <sheet name="Year End Reconciliation" sheetId="2" r:id="rId2"/>
    <sheet name="Pay Period End Reconciliation" sheetId="1" r:id="rId3"/>
  </sheets>
  <definedNames>
    <definedName name="_xlnm.Print_Area" localSheetId="2">'Pay Period End Reconciliation'!$A$1:$E$26</definedName>
    <definedName name="_xlnm.Print_Area" localSheetId="1">'Year End Reconciliation'!$A$1:$D$20</definedName>
  </definedNames>
  <calcPr calcId="145621"/>
</workbook>
</file>

<file path=xl/calcChain.xml><?xml version="1.0" encoding="utf-8"?>
<calcChain xmlns="http://schemas.openxmlformats.org/spreadsheetml/2006/main">
  <c r="T32" i="2" l="1"/>
  <c r="T32" i="1"/>
  <c r="S30" i="1"/>
  <c r="Q30" i="1"/>
  <c r="D20" i="2"/>
  <c r="C20" i="2"/>
  <c r="D8" i="1"/>
  <c r="C17" i="1"/>
  <c r="B17" i="1"/>
  <c r="D17" i="1"/>
  <c r="B8" i="2"/>
  <c r="B26" i="1"/>
  <c r="C8" i="2"/>
  <c r="B8" i="1"/>
  <c r="D8" i="2"/>
  <c r="B20" i="2"/>
  <c r="C8" i="1"/>
  <c r="Q6" i="2" l="1"/>
  <c r="Q19" i="2"/>
  <c r="Q17" i="2"/>
  <c r="Q7" i="2"/>
  <c r="Q8" i="2"/>
  <c r="Q27" i="2"/>
  <c r="S27" i="2" s="1"/>
  <c r="Q18" i="2"/>
  <c r="L20" i="1"/>
  <c r="P20" i="1" s="1"/>
  <c r="L22" i="1"/>
  <c r="L4" i="1"/>
  <c r="P4" i="1" s="1"/>
  <c r="P6" i="1" s="1"/>
  <c r="P7" i="1" s="1"/>
  <c r="L8" i="1" s="1"/>
  <c r="C21" i="1" s="1"/>
  <c r="L13" i="1"/>
  <c r="P13" i="1" s="1"/>
  <c r="P17" i="1" s="1"/>
  <c r="L21" i="1"/>
  <c r="P21" i="1" s="1"/>
  <c r="P8" i="2" l="1"/>
  <c r="S8" i="2"/>
  <c r="Q11" i="2"/>
  <c r="P7" i="2"/>
  <c r="S7" i="2"/>
  <c r="P18" i="2"/>
  <c r="Q22" i="2"/>
  <c r="S22" i="2" s="1"/>
  <c r="S18" i="2"/>
  <c r="S17" i="2"/>
  <c r="Q21" i="2"/>
  <c r="S21" i="2" s="1"/>
  <c r="P17" i="2"/>
  <c r="P6" i="2"/>
  <c r="S6" i="2"/>
  <c r="Q10" i="2"/>
  <c r="S28" i="2"/>
  <c r="S29" i="2" s="1"/>
  <c r="S30" i="2" s="1"/>
  <c r="Q30" i="2" s="1"/>
  <c r="D21" i="2" s="1"/>
  <c r="P19" i="2"/>
  <c r="S19" i="2"/>
  <c r="P22" i="1"/>
  <c r="S31" i="1" s="1"/>
  <c r="T34" i="1" s="1"/>
  <c r="P18" i="1"/>
  <c r="L18" i="1" s="1"/>
  <c r="C22" i="1" s="1"/>
  <c r="S23" i="2" l="1"/>
  <c r="S24" i="2" s="1"/>
  <c r="Q24" i="2" s="1"/>
  <c r="C21" i="2" s="1"/>
  <c r="S11" i="2"/>
  <c r="P11" i="2"/>
  <c r="P10" i="2"/>
  <c r="S10" i="2"/>
  <c r="F1" i="1"/>
  <c r="S32" i="1"/>
  <c r="W12" i="1" s="1"/>
  <c r="P25" i="1"/>
  <c r="P26" i="1" s="1"/>
  <c r="P23" i="1"/>
  <c r="L23" i="1" s="1"/>
  <c r="C23" i="1" s="1"/>
  <c r="S12" i="2" l="1"/>
  <c r="S31" i="2" s="1"/>
  <c r="T34" i="2" s="1"/>
  <c r="S14" i="2" l="1"/>
  <c r="Q14" i="2" s="1"/>
  <c r="B21" i="2" s="1"/>
  <c r="F1" i="2"/>
  <c r="S32" i="2"/>
  <c r="W12" i="2" s="1"/>
</calcChain>
</file>

<file path=xl/sharedStrings.xml><?xml version="1.0" encoding="utf-8"?>
<sst xmlns="http://schemas.openxmlformats.org/spreadsheetml/2006/main" count="62" uniqueCount="32">
  <si>
    <t>Reconciliation (PAY46)</t>
  </si>
  <si>
    <t xml:space="preserve"> Gross</t>
  </si>
  <si>
    <t xml:space="preserve"> Tax</t>
  </si>
  <si>
    <t>Net</t>
  </si>
  <si>
    <t>Company 1</t>
  </si>
  <si>
    <t>Company 2</t>
  </si>
  <si>
    <t>GROSS</t>
  </si>
  <si>
    <t>Company 3</t>
  </si>
  <si>
    <t>Company 4</t>
  </si>
  <si>
    <t>Company 5</t>
  </si>
  <si>
    <t>Company 6</t>
  </si>
  <si>
    <t>Totals $</t>
  </si>
  <si>
    <t>Payroll Journal (PAY54)</t>
  </si>
  <si>
    <t>TAX</t>
  </si>
  <si>
    <t>Direct/Credit Report (PAY64)</t>
  </si>
  <si>
    <t>Direct/ Credit  Net</t>
  </si>
  <si>
    <t>NET</t>
  </si>
  <si>
    <t>Employee YTD Figures Report (PAY091)</t>
  </si>
  <si>
    <t>YTD Gross</t>
  </si>
  <si>
    <t>YTD Tax</t>
  </si>
  <si>
    <t>YTD Net</t>
  </si>
  <si>
    <t>YTD GROSS REC</t>
  </si>
  <si>
    <t>Year End Reconciliation (PAY260)</t>
  </si>
  <si>
    <t>Year To Date Integrity (PAY12)</t>
  </si>
  <si>
    <t>Environment 1</t>
  </si>
  <si>
    <t>Environment 2</t>
  </si>
  <si>
    <t>Environment 3</t>
  </si>
  <si>
    <t>YTD TAX REC</t>
  </si>
  <si>
    <t>Environment 4</t>
  </si>
  <si>
    <t>Environment 5</t>
  </si>
  <si>
    <t>Environment 6</t>
  </si>
  <si>
    <t>YTD 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</si>
</sst>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6"/>
      <color theme="1"/>
      <name val="Arial"/>
      <family val="2"/>
    </font>
    <font>
      <sz val="11"/>
      <name val="Arial"/>
      <family val="2"/>
    </font>
    <font>
      <sz val="11"/>
      <color theme="0"/>
      <name val="Arial"/>
      <family val="2"/>
    </font>
    <font>
      <b/>
      <sz val="11"/>
      <color rgb="FFFF0000"/>
      <name val="Arial"/>
      <family val="2"/>
    </font>
    <font>
      <b/>
      <sz val="11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B2B4B3"/>
        <bgColor indexed="64"/>
      </patternFill>
    </fill>
    <fill>
      <patternFill patternType="solid">
        <fgColor rgb="FF747678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2" borderId="0" xfId="0" applyFont="1" applyFill="1"/>
    <xf numFmtId="0" fontId="3" fillId="2" borderId="0" xfId="0" applyFont="1" applyFill="1"/>
    <xf numFmtId="0" fontId="5" fillId="2" borderId="0" xfId="0" applyFont="1" applyFill="1"/>
    <xf numFmtId="0" fontId="6" fillId="2" borderId="0" xfId="0" applyFont="1" applyFill="1"/>
    <xf numFmtId="0" fontId="3" fillId="0" borderId="0" xfId="0" applyFont="1"/>
    <xf numFmtId="0" fontId="3" fillId="2" borderId="0" xfId="0" applyFont="1" applyFill="1" applyProtection="1">
      <protection locked="0"/>
    </xf>
    <xf numFmtId="0" fontId="2" fillId="2" borderId="0" xfId="0" applyFont="1" applyFill="1" applyBorder="1" applyAlignment="1" applyProtection="1">
      <alignment horizontal="center"/>
      <protection locked="0"/>
    </xf>
    <xf numFmtId="0" fontId="2" fillId="2" borderId="0" xfId="0" applyFont="1" applyFill="1" applyBorder="1" applyProtection="1">
      <protection locked="0"/>
    </xf>
    <xf numFmtId="0" fontId="7" fillId="2" borderId="0" xfId="0" applyFont="1" applyFill="1"/>
    <xf numFmtId="0" fontId="3" fillId="3" borderId="1" xfId="0" applyFont="1" applyFill="1" applyBorder="1" applyProtection="1">
      <protection locked="0"/>
    </xf>
    <xf numFmtId="0" fontId="8" fillId="4" borderId="1" xfId="0" applyFont="1" applyFill="1" applyBorder="1" applyAlignment="1" applyProtection="1">
      <alignment horizontal="center"/>
    </xf>
    <xf numFmtId="0" fontId="8" fillId="4" borderId="1" xfId="0" applyFont="1" applyFill="1" applyBorder="1" applyProtection="1"/>
    <xf numFmtId="0" fontId="2" fillId="3" borderId="1" xfId="0" applyFont="1" applyFill="1" applyBorder="1" applyProtection="1">
      <protection locked="0"/>
    </xf>
    <xf numFmtId="0" fontId="5" fillId="3" borderId="1" xfId="0" applyFont="1" applyFill="1" applyBorder="1" applyProtection="1">
      <protection locked="0"/>
    </xf>
    <xf numFmtId="0" fontId="1" fillId="0" borderId="0" xfId="0" applyFont="1" applyFill="1"/>
    <xf numFmtId="0" fontId="4" fillId="2" borderId="1" xfId="0" applyFont="1" applyFill="1" applyBorder="1" applyAlignment="1">
      <alignment horizontal="center" vertical="top" wrapText="1"/>
    </xf>
    <xf numFmtId="0" fontId="7" fillId="2" borderId="2" xfId="0" applyFont="1" applyFill="1" applyBorder="1" applyAlignment="1">
      <alignment horizontal="center" wrapText="1"/>
    </xf>
    <xf numFmtId="0" fontId="7" fillId="2" borderId="0" xfId="0" applyFont="1" applyFill="1" applyBorder="1" applyAlignment="1">
      <alignment horizontal="center" wrapText="1"/>
    </xf>
  </cellXfs>
  <cellStyles count="1">
    <cellStyle name="Normal" xfId="0" builtinId="0"/>
  </cellStyles>
  <dxfs count="10">
    <dxf>
      <font>
        <color rgb="FF9C0006"/>
      </font>
    </dxf>
    <dxf>
      <font>
        <b/>
        <i val="0"/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b/>
        <i val="0"/>
        <color rgb="FFFF0000"/>
      </font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b/>
        <i val="0"/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b/>
        <i val="0"/>
        <color rgb="FFFF0000"/>
      </font>
      <numFmt numFmtId="30" formatCode="@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421455"/>
      <color rgb="FFE1A800"/>
      <color rgb="FF8CB61D"/>
      <color rgb="FFD0712F"/>
      <color rgb="FF747678"/>
      <color rgb="FFB2B4B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2</xdr:row>
      <xdr:rowOff>114300</xdr:rowOff>
    </xdr:from>
    <xdr:to>
      <xdr:col>15</xdr:col>
      <xdr:colOff>95250</xdr:colOff>
      <xdr:row>9</xdr:row>
      <xdr:rowOff>161925</xdr:rowOff>
    </xdr:to>
    <xdr:sp macro="" textlink="">
      <xdr:nvSpPr>
        <xdr:cNvPr id="2" name="TextBox 1"/>
        <xdr:cNvSpPr txBox="1"/>
      </xdr:nvSpPr>
      <xdr:spPr>
        <a:xfrm>
          <a:off x="47625" y="495300"/>
          <a:ext cx="9191625" cy="1381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2800" b="1">
              <a:solidFill>
                <a:srgbClr val="421455"/>
              </a:solidFill>
              <a:latin typeface="Arial" pitchFamily="34" charset="0"/>
              <a:cs typeface="Arial" pitchFamily="34" charset="0"/>
            </a:rPr>
            <a:t>Welcome to Preceda Reconcilation</a:t>
          </a:r>
          <a:r>
            <a:rPr lang="en-AU" sz="2800" b="1" baseline="0">
              <a:solidFill>
                <a:srgbClr val="421455"/>
              </a:solidFill>
              <a:latin typeface="Arial" pitchFamily="34" charset="0"/>
              <a:cs typeface="Arial" pitchFamily="34" charset="0"/>
            </a:rPr>
            <a:t> spreadsheets. </a:t>
          </a:r>
        </a:p>
        <a:p>
          <a:endParaRPr lang="en-AU" sz="1100" baseline="0"/>
        </a:p>
        <a:p>
          <a:endParaRPr lang="en-AU" sz="1100" baseline="0"/>
        </a:p>
        <a:p>
          <a:r>
            <a:rPr lang="en-AU" sz="1100" b="1" baseline="0">
              <a:solidFill>
                <a:srgbClr val="421455"/>
              </a:solidFill>
              <a:latin typeface="Arial" pitchFamily="34" charset="0"/>
              <a:cs typeface="Arial" pitchFamily="34" charset="0"/>
            </a:rPr>
            <a:t>Before you begin reconciling please ensure you have the correct reports and enable macros and active content for this spreadsheet.</a:t>
          </a:r>
          <a:endParaRPr lang="en-AU" sz="1100" b="1">
            <a:solidFill>
              <a:srgbClr val="421455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11</xdr:row>
          <xdr:rowOff>76200</xdr:rowOff>
        </xdr:from>
        <xdr:to>
          <xdr:col>5</xdr:col>
          <xdr:colOff>85725</xdr:colOff>
          <xdr:row>15</xdr:row>
          <xdr:rowOff>142875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247650</xdr:colOff>
          <xdr:row>11</xdr:row>
          <xdr:rowOff>85725</xdr:rowOff>
        </xdr:from>
        <xdr:to>
          <xdr:col>9</xdr:col>
          <xdr:colOff>95250</xdr:colOff>
          <xdr:row>15</xdr:row>
          <xdr:rowOff>133350</xdr:rowOff>
        </xdr:to>
        <xdr:sp macro="" textlink="">
          <xdr:nvSpPr>
            <xdr:cNvPr id="4100" name="CommandButton2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13</xdr:col>
      <xdr:colOff>238125</xdr:colOff>
      <xdr:row>0</xdr:row>
      <xdr:rowOff>28575</xdr:rowOff>
    </xdr:from>
    <xdr:to>
      <xdr:col>21</xdr:col>
      <xdr:colOff>123825</xdr:colOff>
      <xdr:row>5</xdr:row>
      <xdr:rowOff>123825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2925" y="28575"/>
          <a:ext cx="4762500" cy="10477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20</xdr:row>
          <xdr:rowOff>95250</xdr:rowOff>
        </xdr:from>
        <xdr:to>
          <xdr:col>6</xdr:col>
          <xdr:colOff>885825</xdr:colOff>
          <xdr:row>23</xdr:row>
          <xdr:rowOff>123825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971550</xdr:colOff>
          <xdr:row>20</xdr:row>
          <xdr:rowOff>85725</xdr:rowOff>
        </xdr:from>
        <xdr:to>
          <xdr:col>8</xdr:col>
          <xdr:colOff>571500</xdr:colOff>
          <xdr:row>23</xdr:row>
          <xdr:rowOff>114300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20</xdr:row>
          <xdr:rowOff>76200</xdr:rowOff>
        </xdr:from>
        <xdr:to>
          <xdr:col>11</xdr:col>
          <xdr:colOff>438150</xdr:colOff>
          <xdr:row>23</xdr:row>
          <xdr:rowOff>104775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95250</xdr:colOff>
      <xdr:row>4</xdr:row>
      <xdr:rowOff>127000</xdr:rowOff>
    </xdr:from>
    <xdr:to>
      <xdr:col>12</xdr:col>
      <xdr:colOff>306917</xdr:colOff>
      <xdr:row>10</xdr:row>
      <xdr:rowOff>21167</xdr:rowOff>
    </xdr:to>
    <xdr:sp macro="" textlink="">
      <xdr:nvSpPr>
        <xdr:cNvPr id="2" name="TextBox 1"/>
        <xdr:cNvSpPr txBox="1"/>
      </xdr:nvSpPr>
      <xdr:spPr>
        <a:xfrm>
          <a:off x="10826750" y="1058333"/>
          <a:ext cx="2667000" cy="100541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AU" sz="2800" b="1">
              <a:solidFill>
                <a:srgbClr val="421455"/>
              </a:solidFill>
              <a:latin typeface="Arial" pitchFamily="34" charset="0"/>
              <a:cs typeface="Arial" pitchFamily="34" charset="0"/>
            </a:rPr>
            <a:t>Year End Reconciliation</a:t>
          </a:r>
        </a:p>
      </xdr:txBody>
    </xdr:sp>
    <xdr:clientData/>
  </xdr:twoCellAnchor>
  <xdr:twoCellAnchor editAs="oneCell">
    <xdr:from>
      <xdr:col>6</xdr:col>
      <xdr:colOff>984250</xdr:colOff>
      <xdr:row>0</xdr:row>
      <xdr:rowOff>52916</xdr:rowOff>
    </xdr:from>
    <xdr:to>
      <xdr:col>14</xdr:col>
      <xdr:colOff>158750</xdr:colOff>
      <xdr:row>4</xdr:row>
      <xdr:rowOff>169333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0750" y="52916"/>
          <a:ext cx="4762500" cy="10477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12</xdr:row>
          <xdr:rowOff>133350</xdr:rowOff>
        </xdr:from>
        <xdr:to>
          <xdr:col>6</xdr:col>
          <xdr:colOff>971550</xdr:colOff>
          <xdr:row>15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28575</xdr:rowOff>
        </xdr:from>
        <xdr:to>
          <xdr:col>6</xdr:col>
          <xdr:colOff>971550</xdr:colOff>
          <xdr:row>19</xdr:row>
          <xdr:rowOff>38100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19</xdr:row>
          <xdr:rowOff>142875</xdr:rowOff>
        </xdr:from>
        <xdr:to>
          <xdr:col>6</xdr:col>
          <xdr:colOff>952500</xdr:colOff>
          <xdr:row>22</xdr:row>
          <xdr:rowOff>114300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179916</xdr:colOff>
      <xdr:row>7</xdr:row>
      <xdr:rowOff>10583</xdr:rowOff>
    </xdr:from>
    <xdr:to>
      <xdr:col>12</xdr:col>
      <xdr:colOff>391583</xdr:colOff>
      <xdr:row>14</xdr:row>
      <xdr:rowOff>137583</xdr:rowOff>
    </xdr:to>
    <xdr:sp macro="" textlink="">
      <xdr:nvSpPr>
        <xdr:cNvPr id="7" name="TextBox 6"/>
        <xdr:cNvSpPr txBox="1"/>
      </xdr:nvSpPr>
      <xdr:spPr>
        <a:xfrm>
          <a:off x="10974916" y="1492250"/>
          <a:ext cx="2667000" cy="143933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AU" sz="2800" b="1">
              <a:solidFill>
                <a:srgbClr val="421455"/>
              </a:solidFill>
              <a:latin typeface="Arial" pitchFamily="34" charset="0"/>
              <a:cs typeface="Arial" pitchFamily="34" charset="0"/>
            </a:rPr>
            <a:t>Pay PeriodEnd Reconciliation</a:t>
          </a:r>
        </a:p>
      </xdr:txBody>
    </xdr:sp>
    <xdr:clientData/>
  </xdr:twoCellAnchor>
  <xdr:twoCellAnchor editAs="oneCell">
    <xdr:from>
      <xdr:col>6</xdr:col>
      <xdr:colOff>867833</xdr:colOff>
      <xdr:row>0</xdr:row>
      <xdr:rowOff>42333</xdr:rowOff>
    </xdr:from>
    <xdr:to>
      <xdr:col>13</xdr:col>
      <xdr:colOff>582083</xdr:colOff>
      <xdr:row>4</xdr:row>
      <xdr:rowOff>158750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83750" y="42333"/>
          <a:ext cx="4762500" cy="10477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Relationship Id="rId9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421455"/>
  </sheetPr>
  <dimension ref="L17"/>
  <sheetViews>
    <sheetView tabSelected="1" workbookViewId="0">
      <selection activeCell="T27" sqref="T27"/>
    </sheetView>
  </sheetViews>
  <sheetFormatPr defaultRowHeight="15" x14ac:dyDescent="0.25"/>
  <cols>
    <col min="1" max="16384" width="9.140625" style="1"/>
  </cols>
  <sheetData>
    <row r="17" spans="12:12" x14ac:dyDescent="0.25">
      <c r="L17" s="15"/>
    </row>
  </sheetData>
  <sheetProtection password="CB01" sheet="1" objects="1" scenario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2</xdr:col>
                <xdr:colOff>238125</xdr:colOff>
                <xdr:row>11</xdr:row>
                <xdr:rowOff>76200</xdr:rowOff>
              </from>
              <to>
                <xdr:col>5</xdr:col>
                <xdr:colOff>85725</xdr:colOff>
                <xdr:row>15</xdr:row>
                <xdr:rowOff>142875</xdr:rowOff>
              </to>
            </anchor>
          </controlPr>
        </control>
      </mc:Choice>
      <mc:Fallback>
        <control shapeId="4097" r:id="rId3" name="CommandButton1"/>
      </mc:Fallback>
    </mc:AlternateContent>
    <mc:AlternateContent xmlns:mc="http://schemas.openxmlformats.org/markup-compatibility/2006">
      <mc:Choice Requires="x14">
        <control shapeId="4100" r:id="rId5" name="CommandButton2">
          <controlPr defaultSize="0" autoLine="0" r:id="rId6">
            <anchor moveWithCells="1">
              <from>
                <xdr:col>6</xdr:col>
                <xdr:colOff>247650</xdr:colOff>
                <xdr:row>11</xdr:row>
                <xdr:rowOff>85725</xdr:rowOff>
              </from>
              <to>
                <xdr:col>9</xdr:col>
                <xdr:colOff>95250</xdr:colOff>
                <xdr:row>15</xdr:row>
                <xdr:rowOff>133350</xdr:rowOff>
              </to>
            </anchor>
          </controlPr>
        </control>
      </mc:Choice>
      <mc:Fallback>
        <control shapeId="4100" r:id="rId5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E1A800"/>
    <pageSetUpPr fitToPage="1"/>
  </sheetPr>
  <dimension ref="A1:AX51"/>
  <sheetViews>
    <sheetView zoomScale="90" zoomScaleNormal="90" workbookViewId="0">
      <selection activeCell="C16" sqref="C16"/>
    </sheetView>
  </sheetViews>
  <sheetFormatPr defaultRowHeight="14.25" x14ac:dyDescent="0.2"/>
  <cols>
    <col min="1" max="1" width="41.5703125" style="5" customWidth="1"/>
    <col min="2" max="2" width="25.28515625" style="5" customWidth="1"/>
    <col min="3" max="3" width="23.7109375" style="5" customWidth="1"/>
    <col min="4" max="4" width="23.42578125" style="5" customWidth="1"/>
    <col min="5" max="6" width="9.140625" style="2"/>
    <col min="7" max="7" width="19.42578125" style="2" customWidth="1"/>
    <col min="8" max="13" width="9.140625" style="2"/>
    <col min="14" max="15" width="9.140625" style="3"/>
    <col min="16" max="16" width="10.5703125" style="4" hidden="1" customWidth="1"/>
    <col min="17" max="17" width="9.140625" style="4" hidden="1" customWidth="1"/>
    <col min="18" max="18" width="11.42578125" style="4" hidden="1" customWidth="1"/>
    <col min="19" max="19" width="14.5703125" style="4" hidden="1" customWidth="1"/>
    <col min="20" max="21" width="9.140625" style="4" hidden="1" customWidth="1"/>
    <col min="22" max="24" width="9.140625" style="5" hidden="1" customWidth="1"/>
    <col min="25" max="28" width="0" style="2" hidden="1" customWidth="1"/>
    <col min="29" max="34" width="9.140625" style="2"/>
    <col min="35" max="16384" width="9.140625" style="5"/>
  </cols>
  <sheetData>
    <row r="1" spans="1:50" ht="28.5" customHeight="1" x14ac:dyDescent="0.25">
      <c r="A1" s="11" t="s">
        <v>17</v>
      </c>
      <c r="B1" s="11" t="s">
        <v>18</v>
      </c>
      <c r="C1" s="11" t="s">
        <v>19</v>
      </c>
      <c r="D1" s="11" t="s">
        <v>20</v>
      </c>
      <c r="F1" s="16" t="str">
        <f ca="1">T34</f>
        <v>RECONCILED SUCCESSFULLY!!</v>
      </c>
      <c r="G1" s="16"/>
      <c r="P1" s="4" t="b">
        <v>1</v>
      </c>
      <c r="Q1" s="4" t="b">
        <v>0</v>
      </c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</row>
    <row r="2" spans="1:50" ht="15" customHeight="1" x14ac:dyDescent="0.2">
      <c r="A2" s="10" t="s">
        <v>4</v>
      </c>
      <c r="B2" s="10"/>
      <c r="C2" s="10"/>
      <c r="D2" s="10"/>
      <c r="F2" s="16"/>
      <c r="G2" s="16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</row>
    <row r="3" spans="1:50" ht="15" customHeight="1" x14ac:dyDescent="0.2">
      <c r="A3" s="10" t="s">
        <v>5</v>
      </c>
      <c r="B3" s="10"/>
      <c r="C3" s="10"/>
      <c r="D3" s="10"/>
      <c r="F3" s="16"/>
      <c r="G3" s="16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</row>
    <row r="4" spans="1:50" ht="15" customHeight="1" x14ac:dyDescent="0.2">
      <c r="A4" s="10" t="s">
        <v>7</v>
      </c>
      <c r="B4" s="10"/>
      <c r="C4" s="10"/>
      <c r="D4" s="10"/>
      <c r="F4" s="16"/>
      <c r="G4" s="16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</row>
    <row r="5" spans="1:50" ht="15" customHeight="1" x14ac:dyDescent="0.2">
      <c r="A5" s="10" t="s">
        <v>8</v>
      </c>
      <c r="B5" s="10"/>
      <c r="C5" s="10"/>
      <c r="D5" s="10"/>
      <c r="F5" s="16"/>
      <c r="G5" s="16"/>
      <c r="Q5" s="4" t="s">
        <v>21</v>
      </c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</row>
    <row r="6" spans="1:50" x14ac:dyDescent="0.2">
      <c r="A6" s="10" t="s">
        <v>9</v>
      </c>
      <c r="B6" s="10"/>
      <c r="C6" s="10"/>
      <c r="D6" s="10"/>
      <c r="F6" s="16"/>
      <c r="G6" s="16"/>
      <c r="P6" s="4">
        <f ca="1">IF(Q6=Q1,B8-B11,)</f>
        <v>0</v>
      </c>
      <c r="Q6" s="4" t="b">
        <f ca="1">B8=B11</f>
        <v>1</v>
      </c>
      <c r="S6" s="4">
        <f ca="1">IF(Q6=P1, 1, 0)</f>
        <v>1</v>
      </c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</row>
    <row r="7" spans="1:50" x14ac:dyDescent="0.2">
      <c r="A7" s="10" t="s">
        <v>10</v>
      </c>
      <c r="B7" s="10"/>
      <c r="C7" s="10"/>
      <c r="D7" s="10"/>
      <c r="F7" s="16"/>
      <c r="G7" s="16"/>
      <c r="P7" s="4">
        <f ca="1">IF(Q7=Q1,B11-B20,)</f>
        <v>0</v>
      </c>
      <c r="Q7" s="4" t="b">
        <f ca="1">B11=B20</f>
        <v>1</v>
      </c>
      <c r="S7" s="4">
        <f ca="1">IF(Q7=P1, 1, 0)</f>
        <v>1</v>
      </c>
      <c r="W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</row>
    <row r="8" spans="1:50" ht="15" x14ac:dyDescent="0.25">
      <c r="A8" s="12" t="s">
        <v>11</v>
      </c>
      <c r="B8" s="12">
        <f ca="1">SUM(INDIRECT("B2"):OFFSET($B$8,-1,))</f>
        <v>0</v>
      </c>
      <c r="C8" s="12">
        <f ca="1">SUM(INDIRECT("c2"):OFFSET($C$8,-1,))</f>
        <v>0</v>
      </c>
      <c r="D8" s="12">
        <f ca="1">SUM(INDIRECT("d2"):OFFSET($D$8,-1,))</f>
        <v>0</v>
      </c>
      <c r="F8" s="16"/>
      <c r="G8" s="16"/>
      <c r="P8" s="4">
        <f ca="1">IF(Q8=Q1,B8-B20,)</f>
        <v>0</v>
      </c>
      <c r="Q8" s="4" t="b">
        <f ca="1">B20=B8</f>
        <v>1</v>
      </c>
      <c r="S8" s="4">
        <f ca="1">IF(Q8=P1, 1, 0)</f>
        <v>1</v>
      </c>
      <c r="W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</row>
    <row r="9" spans="1:50" x14ac:dyDescent="0.2">
      <c r="A9" s="6"/>
      <c r="B9" s="6"/>
      <c r="C9" s="6"/>
      <c r="D9" s="6"/>
      <c r="F9" s="16"/>
      <c r="G9" s="16"/>
      <c r="W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</row>
    <row r="10" spans="1:50" ht="15" x14ac:dyDescent="0.25">
      <c r="A10" s="11" t="s">
        <v>22</v>
      </c>
      <c r="B10" s="11" t="s">
        <v>18</v>
      </c>
      <c r="C10" s="11" t="s">
        <v>19</v>
      </c>
      <c r="D10" s="7"/>
      <c r="F10" s="16"/>
      <c r="G10" s="16"/>
      <c r="P10" s="4">
        <f ca="1">IF(Q10=Q5,B12-B15,)</f>
        <v>0</v>
      </c>
      <c r="Q10" s="4" t="b">
        <f ca="1">EXACT(Q6,Q7)</f>
        <v>1</v>
      </c>
      <c r="S10" s="4">
        <f ca="1">IF(Q10=P1, 1, 0)</f>
        <v>1</v>
      </c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</row>
    <row r="11" spans="1:50" ht="15" x14ac:dyDescent="0.25">
      <c r="A11" s="13"/>
      <c r="B11" s="13"/>
      <c r="C11" s="13"/>
      <c r="D11" s="8"/>
      <c r="F11" s="16"/>
      <c r="G11" s="16"/>
      <c r="P11" s="4">
        <f ca="1">IF(Q11=Q1,B13-B16,)</f>
        <v>0</v>
      </c>
      <c r="Q11" s="4" t="b">
        <f ca="1">EXACT(Q7,Q8)</f>
        <v>1</v>
      </c>
      <c r="S11" s="4">
        <f ca="1">IF(Q11=P1, 1, 0)</f>
        <v>1</v>
      </c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</row>
    <row r="12" spans="1:50" s="2" customFormat="1" ht="15" x14ac:dyDescent="0.25">
      <c r="A12" s="6"/>
      <c r="B12" s="6"/>
      <c r="C12" s="6"/>
      <c r="D12" s="6"/>
      <c r="N12" s="3"/>
      <c r="O12" s="3"/>
      <c r="P12" s="4"/>
      <c r="Q12" s="4"/>
      <c r="R12" s="4"/>
      <c r="S12" s="4">
        <f ca="1">SUM(S6:S11)</f>
        <v>5</v>
      </c>
      <c r="T12" s="4"/>
      <c r="U12" s="4"/>
      <c r="W12" s="9" t="str">
        <f ca="1">IF(S32="RECONCILE", "YOUR FIGURES DO NOT RECONCILE", "")</f>
        <v/>
      </c>
    </row>
    <row r="13" spans="1:50" ht="15" x14ac:dyDescent="0.25">
      <c r="A13" s="11" t="s">
        <v>23</v>
      </c>
      <c r="B13" s="11" t="s">
        <v>18</v>
      </c>
      <c r="C13" s="11" t="s">
        <v>19</v>
      </c>
      <c r="D13" s="11" t="s">
        <v>20</v>
      </c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</row>
    <row r="14" spans="1:50" x14ac:dyDescent="0.2">
      <c r="A14" s="10" t="s">
        <v>24</v>
      </c>
      <c r="B14" s="10"/>
      <c r="C14" s="10"/>
      <c r="D14" s="10"/>
      <c r="Q14" s="4" t="str">
        <f ca="1">IF(S14="ERROR","PLEASE CHECK YOUR YTD GROSS FIGURES","")</f>
        <v/>
      </c>
      <c r="S14" s="4" t="str">
        <f ca="1">IF(S12=5, "RECONCILE", "ERROR")</f>
        <v>RECONCILE</v>
      </c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</row>
    <row r="15" spans="1:50" x14ac:dyDescent="0.2">
      <c r="A15" s="10" t="s">
        <v>25</v>
      </c>
      <c r="B15" s="10"/>
      <c r="C15" s="10"/>
      <c r="D15" s="10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</row>
    <row r="16" spans="1:50" x14ac:dyDescent="0.2">
      <c r="A16" s="10" t="s">
        <v>26</v>
      </c>
      <c r="B16" s="10"/>
      <c r="C16" s="10"/>
      <c r="D16" s="10"/>
      <c r="Q16" s="4" t="s">
        <v>27</v>
      </c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</row>
    <row r="17" spans="1:34" s="4" customFormat="1" x14ac:dyDescent="0.2">
      <c r="A17" s="10" t="s">
        <v>28</v>
      </c>
      <c r="B17" s="10"/>
      <c r="C17" s="10"/>
      <c r="D17" s="10"/>
      <c r="E17" s="2"/>
      <c r="F17" s="2"/>
      <c r="G17" s="2"/>
      <c r="H17" s="2"/>
      <c r="I17" s="2"/>
      <c r="J17" s="2"/>
      <c r="K17" s="2"/>
      <c r="L17" s="2"/>
      <c r="M17" s="2"/>
      <c r="N17" s="3"/>
      <c r="O17" s="3"/>
      <c r="P17" s="4">
        <f ca="1">IF(Q17=Q1,C11-C8,)</f>
        <v>0</v>
      </c>
      <c r="Q17" s="4" t="b">
        <f ca="1">C8=C11</f>
        <v>1</v>
      </c>
      <c r="S17" s="4">
        <f ca="1">IF(Q17=P1, 1, 0)</f>
        <v>1</v>
      </c>
      <c r="V17" s="5"/>
      <c r="W17" s="5"/>
      <c r="X17" s="5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s="4" customFormat="1" x14ac:dyDescent="0.2">
      <c r="A18" s="10" t="s">
        <v>29</v>
      </c>
      <c r="B18" s="10"/>
      <c r="C18" s="10"/>
      <c r="D18" s="10"/>
      <c r="E18" s="2"/>
      <c r="F18" s="2"/>
      <c r="G18" s="2"/>
      <c r="H18" s="2"/>
      <c r="I18" s="2"/>
      <c r="J18" s="2"/>
      <c r="K18" s="2"/>
      <c r="L18" s="2"/>
      <c r="M18" s="2"/>
      <c r="N18" s="3"/>
      <c r="O18" s="3"/>
      <c r="P18" s="4">
        <f ca="1">IF(Q18=Q1,C11-C20,)</f>
        <v>0</v>
      </c>
      <c r="Q18" s="4" t="b">
        <f ca="1">C11=C20</f>
        <v>1</v>
      </c>
      <c r="S18" s="4">
        <f ca="1">IF(Q18=P1, 1, 0)</f>
        <v>1</v>
      </c>
      <c r="V18" s="5"/>
      <c r="W18" s="5"/>
      <c r="X18" s="5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s="4" customFormat="1" x14ac:dyDescent="0.2">
      <c r="A19" s="10" t="s">
        <v>30</v>
      </c>
      <c r="B19" s="10"/>
      <c r="C19" s="10"/>
      <c r="D19" s="10"/>
      <c r="E19" s="2"/>
      <c r="F19" s="2"/>
      <c r="G19" s="2"/>
      <c r="H19" s="2"/>
      <c r="I19" s="2"/>
      <c r="J19" s="2"/>
      <c r="K19" s="2"/>
      <c r="L19" s="2"/>
      <c r="M19" s="2"/>
      <c r="N19" s="3"/>
      <c r="O19" s="3"/>
      <c r="P19" s="4">
        <f ca="1">IF(Q19=Q1,C8-C20,)</f>
        <v>0</v>
      </c>
      <c r="Q19" s="4" t="b">
        <f ca="1">C8=C20</f>
        <v>1</v>
      </c>
      <c r="S19" s="4">
        <f ca="1">IF(Q19=P1, 1, 0)</f>
        <v>1</v>
      </c>
      <c r="V19" s="5"/>
      <c r="W19" s="5"/>
      <c r="X19" s="5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 s="4" customFormat="1" ht="15" x14ac:dyDescent="0.25">
      <c r="A20" s="12" t="s">
        <v>11</v>
      </c>
      <c r="B20" s="12">
        <f ca="1">SUM(INDIRECT("b14"):OFFSET($B$20,-1,))</f>
        <v>0</v>
      </c>
      <c r="C20" s="12">
        <f ca="1">SUM(INDIRECT("c14"):OFFSET($C$20,-1,))</f>
        <v>0</v>
      </c>
      <c r="D20" s="12">
        <f ca="1">SUM(INDIRECT("D14"):OFFSET($D$20,-1,))</f>
        <v>0</v>
      </c>
      <c r="E20" s="2"/>
      <c r="F20" s="2"/>
      <c r="G20" s="2"/>
      <c r="H20" s="2"/>
      <c r="I20" s="2"/>
      <c r="J20" s="2"/>
      <c r="K20" s="2"/>
      <c r="L20" s="2"/>
      <c r="M20" s="2"/>
      <c r="N20" s="3"/>
      <c r="O20" s="3"/>
      <c r="V20" s="5"/>
      <c r="W20" s="5"/>
      <c r="X20" s="5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s="4" customFormat="1" ht="15" customHeight="1" x14ac:dyDescent="0.2">
      <c r="A21" s="2"/>
      <c r="B21" s="17" t="str">
        <f ca="1">Q14</f>
        <v/>
      </c>
      <c r="C21" s="17" t="str">
        <f ca="1">Q24</f>
        <v/>
      </c>
      <c r="D21" s="17" t="str">
        <f ca="1">Q30</f>
        <v/>
      </c>
      <c r="E21" s="2"/>
      <c r="F21" s="2"/>
      <c r="G21" s="2"/>
      <c r="H21" s="2"/>
      <c r="I21" s="2"/>
      <c r="J21" s="2"/>
      <c r="K21" s="2"/>
      <c r="L21" s="2"/>
      <c r="M21" s="2"/>
      <c r="N21" s="3"/>
      <c r="O21" s="3"/>
      <c r="Q21" s="4" t="b">
        <f ca="1">EXACT(Q17,Q18)</f>
        <v>1</v>
      </c>
      <c r="S21" s="4">
        <f ca="1">IF(Q21=P1, 1, 0)</f>
        <v>1</v>
      </c>
      <c r="V21" s="5"/>
      <c r="W21" s="5"/>
      <c r="X21" s="5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s="4" customFormat="1" x14ac:dyDescent="0.2">
      <c r="A22" s="2"/>
      <c r="B22" s="18"/>
      <c r="C22" s="18"/>
      <c r="D22" s="18"/>
      <c r="E22" s="2"/>
      <c r="F22" s="2"/>
      <c r="G22" s="2"/>
      <c r="H22" s="2"/>
      <c r="I22" s="2"/>
      <c r="J22" s="2"/>
      <c r="K22" s="2"/>
      <c r="L22" s="2"/>
      <c r="M22" s="2"/>
      <c r="N22" s="3"/>
      <c r="O22" s="3"/>
      <c r="Q22" s="4" t="b">
        <f ca="1">EXACT(Q18,Q19)</f>
        <v>1</v>
      </c>
      <c r="S22" s="4">
        <f ca="1">IF(Q22=P1, 1, 0)</f>
        <v>1</v>
      </c>
      <c r="V22" s="5"/>
      <c r="W22" s="5"/>
      <c r="X22" s="5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s="4" customFormat="1" x14ac:dyDescent="0.2">
      <c r="A23" s="2"/>
      <c r="B23" s="18"/>
      <c r="C23" s="18"/>
      <c r="D23" s="18"/>
      <c r="E23" s="2"/>
      <c r="F23" s="2"/>
      <c r="G23" s="2"/>
      <c r="H23" s="2"/>
      <c r="I23" s="2"/>
      <c r="J23" s="2"/>
      <c r="K23" s="2"/>
      <c r="L23" s="2"/>
      <c r="M23" s="2"/>
      <c r="N23" s="3"/>
      <c r="O23" s="3"/>
      <c r="S23" s="4">
        <f ca="1">SUM(S17:S22)</f>
        <v>5</v>
      </c>
      <c r="V23" s="5"/>
      <c r="W23" s="5"/>
      <c r="X23" s="5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s="4" customForma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3"/>
      <c r="Q24" s="4" t="str">
        <f ca="1">IF(S24= "ERROR", "PLEASE CHECK YOUR YTD TAX FIGURES","")</f>
        <v/>
      </c>
      <c r="S24" s="4" t="str">
        <f ca="1">IF(S23=5, "RECONCILE", "ERROR")</f>
        <v>RECONCILE</v>
      </c>
      <c r="V24" s="5"/>
      <c r="W24" s="5"/>
      <c r="X24" s="5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s="4" customForma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3"/>
      <c r="V25" s="5"/>
      <c r="W25" s="5"/>
      <c r="X25" s="5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s="4" customForma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3"/>
      <c r="Q26" s="4" t="s">
        <v>31</v>
      </c>
      <c r="V26" s="5"/>
      <c r="W26" s="5"/>
      <c r="X26" s="5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1:34" s="4" customForma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Q27" s="4" t="b">
        <f ca="1">D8=D20</f>
        <v>1</v>
      </c>
      <c r="S27" s="4">
        <f ca="1">IF(Q27=P1, 1, 0)</f>
        <v>1</v>
      </c>
      <c r="V27" s="5"/>
      <c r="W27" s="5"/>
      <c r="X27" s="5"/>
      <c r="Y27" s="2"/>
      <c r="Z27" s="2"/>
      <c r="AA27" s="2"/>
      <c r="AB27" s="2"/>
      <c r="AC27" s="2"/>
      <c r="AD27" s="2"/>
      <c r="AE27" s="2"/>
      <c r="AF27" s="2"/>
      <c r="AG27" s="2"/>
      <c r="AH27" s="2"/>
    </row>
    <row r="28" spans="1:34" s="4" customForma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3"/>
      <c r="S28" s="4">
        <f ca="1">SUM(S27)</f>
        <v>1</v>
      </c>
      <c r="V28" s="5"/>
      <c r="W28" s="5"/>
      <c r="X28" s="5"/>
      <c r="Y28" s="2"/>
      <c r="Z28" s="2"/>
      <c r="AA28" s="2"/>
      <c r="AB28" s="2"/>
      <c r="AC28" s="2"/>
      <c r="AD28" s="2"/>
      <c r="AE28" s="2"/>
      <c r="AF28" s="2"/>
      <c r="AG28" s="2"/>
      <c r="AH28" s="2"/>
    </row>
    <row r="29" spans="1:34" s="4" customForma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3"/>
      <c r="S29" s="4">
        <f ca="1">SUM(S27:S28)</f>
        <v>2</v>
      </c>
      <c r="V29" s="5"/>
      <c r="W29" s="5"/>
      <c r="X29" s="5"/>
      <c r="Y29" s="2"/>
      <c r="Z29" s="2"/>
      <c r="AA29" s="2"/>
      <c r="AB29" s="2"/>
      <c r="AC29" s="2"/>
      <c r="AD29" s="2"/>
      <c r="AE29" s="2"/>
      <c r="AF29" s="2"/>
      <c r="AG29" s="2"/>
      <c r="AH29" s="2"/>
    </row>
    <row r="30" spans="1:34" s="4" customForma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3"/>
      <c r="Q30" s="4" t="str">
        <f ca="1">IF(S30= "ERROR", "PLEASE CHECK YOUR YTD NET FIGURES","")</f>
        <v/>
      </c>
      <c r="S30" s="4" t="str">
        <f ca="1">IF(S29=2, "RECONCILE", "ERROR")</f>
        <v>RECONCILE</v>
      </c>
      <c r="V30" s="5"/>
      <c r="W30" s="5"/>
      <c r="X30" s="5"/>
      <c r="Y30" s="2"/>
      <c r="Z30" s="2"/>
      <c r="AA30" s="2"/>
      <c r="AB30" s="2"/>
      <c r="AC30" s="2"/>
      <c r="AD30" s="2"/>
      <c r="AE30" s="2"/>
      <c r="AF30" s="2"/>
      <c r="AG30" s="2"/>
      <c r="AH30" s="2"/>
    </row>
    <row r="31" spans="1:34" s="4" customForma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3"/>
      <c r="S31" s="4">
        <f ca="1">S12+S23+S29</f>
        <v>12</v>
      </c>
      <c r="T31" s="4">
        <v>12</v>
      </c>
      <c r="V31" s="5"/>
      <c r="W31" s="5"/>
      <c r="X31" s="5"/>
      <c r="Y31" s="2"/>
      <c r="Z31" s="2"/>
      <c r="AA31" s="2"/>
      <c r="AB31" s="2"/>
      <c r="AC31" s="2"/>
      <c r="AD31" s="2"/>
      <c r="AE31" s="2"/>
      <c r="AF31" s="2"/>
      <c r="AG31" s="2"/>
      <c r="AH31" s="2"/>
    </row>
    <row r="32" spans="1:34" s="4" customForma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3"/>
      <c r="S32" s="4" t="b">
        <f ca="1">S31=T31</f>
        <v>1</v>
      </c>
      <c r="T32" s="4" t="b">
        <f>NOT(T31=15)</f>
        <v>1</v>
      </c>
      <c r="V32" s="5"/>
      <c r="W32" s="5"/>
      <c r="X32" s="5"/>
      <c r="Y32" s="2"/>
      <c r="Z32" s="2"/>
      <c r="AA32" s="2"/>
      <c r="AB32" s="2"/>
      <c r="AC32" s="2"/>
      <c r="AD32" s="2"/>
      <c r="AE32" s="2"/>
      <c r="AF32" s="2"/>
      <c r="AG32" s="2"/>
      <c r="AH32" s="2"/>
    </row>
    <row r="33" spans="1:34" s="4" customForma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3"/>
      <c r="V33" s="5"/>
      <c r="W33" s="5"/>
      <c r="X33" s="5"/>
      <c r="Y33" s="2"/>
      <c r="Z33" s="2"/>
      <c r="AA33" s="2"/>
      <c r="AB33" s="2"/>
      <c r="AC33" s="2"/>
      <c r="AD33" s="2"/>
      <c r="AE33" s="2"/>
      <c r="AF33" s="2"/>
      <c r="AG33" s="2"/>
      <c r="AH33" s="2"/>
    </row>
    <row r="34" spans="1:34" s="4" customForma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3"/>
      <c r="T34" s="4" t="str">
        <f ca="1">IF(S31=12, "RECONCILED SUCCESSFULLY!!", "Your figures do not reconcile, please adjust the totals affected")</f>
        <v>RECONCILED SUCCESSFULLY!!</v>
      </c>
      <c r="V34" s="5"/>
      <c r="W34" s="5"/>
      <c r="X34" s="5"/>
      <c r="Y34" s="2"/>
      <c r="Z34" s="2"/>
      <c r="AA34" s="2"/>
      <c r="AB34" s="2"/>
      <c r="AC34" s="2"/>
      <c r="AD34" s="2"/>
      <c r="AE34" s="2"/>
      <c r="AF34" s="2"/>
      <c r="AG34" s="2"/>
      <c r="AH34" s="2"/>
    </row>
    <row r="35" spans="1:34" s="4" customForma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3"/>
      <c r="V35" s="5"/>
      <c r="W35" s="5"/>
      <c r="X35" s="5"/>
      <c r="Y35" s="2"/>
      <c r="Z35" s="2"/>
      <c r="AA35" s="2"/>
      <c r="AB35" s="2"/>
      <c r="AC35" s="2"/>
      <c r="AD35" s="2"/>
      <c r="AE35" s="2"/>
      <c r="AF35" s="2"/>
      <c r="AG35" s="2"/>
      <c r="AH35" s="2"/>
    </row>
    <row r="36" spans="1:34" s="4" customForma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3"/>
      <c r="V36" s="5"/>
      <c r="W36" s="5"/>
      <c r="X36" s="5"/>
      <c r="Y36" s="2"/>
      <c r="Z36" s="2"/>
      <c r="AA36" s="2"/>
      <c r="AB36" s="2"/>
      <c r="AC36" s="2"/>
      <c r="AD36" s="2"/>
      <c r="AE36" s="2"/>
      <c r="AF36" s="2"/>
      <c r="AG36" s="2"/>
      <c r="AH36" s="2"/>
    </row>
    <row r="37" spans="1:34" s="4" customForma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3"/>
      <c r="V37" s="5"/>
      <c r="W37" s="5"/>
      <c r="X37" s="5"/>
      <c r="Y37" s="2"/>
      <c r="Z37" s="2"/>
      <c r="AA37" s="2"/>
      <c r="AB37" s="2"/>
      <c r="AC37" s="2"/>
      <c r="AD37" s="2"/>
      <c r="AE37" s="2"/>
      <c r="AF37" s="2"/>
      <c r="AG37" s="2"/>
      <c r="AH37" s="2"/>
    </row>
    <row r="38" spans="1:34" s="4" customForma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3"/>
      <c r="V38" s="5"/>
      <c r="W38" s="5"/>
      <c r="X38" s="5"/>
      <c r="Y38" s="2"/>
      <c r="Z38" s="2"/>
      <c r="AA38" s="2"/>
      <c r="AB38" s="2"/>
      <c r="AC38" s="2"/>
      <c r="AD38" s="2"/>
      <c r="AE38" s="2"/>
      <c r="AF38" s="2"/>
      <c r="AG38" s="2"/>
      <c r="AH38" s="2"/>
    </row>
    <row r="39" spans="1:34" s="4" customForma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3"/>
      <c r="V39" s="5"/>
      <c r="W39" s="5"/>
      <c r="X39" s="5"/>
      <c r="Y39" s="2"/>
      <c r="Z39" s="2"/>
      <c r="AA39" s="2"/>
      <c r="AB39" s="2"/>
      <c r="AC39" s="2"/>
      <c r="AD39" s="2"/>
      <c r="AE39" s="2"/>
      <c r="AF39" s="2"/>
      <c r="AG39" s="2"/>
      <c r="AH39" s="2"/>
    </row>
    <row r="40" spans="1:34" s="4" customForma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3"/>
      <c r="V40" s="5"/>
      <c r="W40" s="5"/>
      <c r="X40" s="5"/>
      <c r="Y40" s="2"/>
      <c r="Z40" s="2"/>
      <c r="AA40" s="2"/>
      <c r="AB40" s="2"/>
      <c r="AC40" s="2"/>
      <c r="AD40" s="2"/>
      <c r="AE40" s="2"/>
      <c r="AF40" s="2"/>
      <c r="AG40" s="2"/>
      <c r="AH40" s="2"/>
    </row>
    <row r="41" spans="1:34" s="4" customForma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3"/>
      <c r="V41" s="5"/>
      <c r="W41" s="5"/>
      <c r="X41" s="5"/>
      <c r="Y41" s="2"/>
      <c r="Z41" s="2"/>
      <c r="AA41" s="2"/>
      <c r="AB41" s="2"/>
      <c r="AC41" s="2"/>
      <c r="AD41" s="2"/>
      <c r="AE41" s="2"/>
      <c r="AF41" s="2"/>
      <c r="AG41" s="2"/>
      <c r="AH41" s="2"/>
    </row>
    <row r="42" spans="1:34" s="4" customForma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3"/>
      <c r="V42" s="5"/>
      <c r="W42" s="5"/>
      <c r="X42" s="5"/>
      <c r="Y42" s="2"/>
      <c r="Z42" s="2"/>
      <c r="AA42" s="2"/>
      <c r="AB42" s="2"/>
      <c r="AC42" s="2"/>
      <c r="AD42" s="2"/>
      <c r="AE42" s="2"/>
      <c r="AF42" s="2"/>
      <c r="AG42" s="2"/>
      <c r="AH42" s="2"/>
    </row>
    <row r="43" spans="1:34" s="4" customForma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3"/>
      <c r="V43" s="5"/>
      <c r="W43" s="5"/>
      <c r="X43" s="5"/>
      <c r="Y43" s="2"/>
      <c r="Z43" s="2"/>
      <c r="AA43" s="2"/>
      <c r="AB43" s="2"/>
      <c r="AC43" s="2"/>
      <c r="AD43" s="2"/>
      <c r="AE43" s="2"/>
      <c r="AF43" s="2"/>
      <c r="AG43" s="2"/>
      <c r="AH43" s="2"/>
    </row>
    <row r="44" spans="1:34" s="4" customForma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3"/>
      <c r="O44" s="3"/>
      <c r="V44" s="5"/>
      <c r="W44" s="5"/>
      <c r="X44" s="5"/>
      <c r="Y44" s="2"/>
      <c r="Z44" s="2"/>
      <c r="AA44" s="2"/>
      <c r="AB44" s="2"/>
      <c r="AC44" s="2"/>
      <c r="AD44" s="2"/>
      <c r="AE44" s="2"/>
      <c r="AF44" s="2"/>
      <c r="AG44" s="2"/>
      <c r="AH44" s="2"/>
    </row>
    <row r="45" spans="1:34" s="4" customForma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3"/>
      <c r="O45" s="3"/>
      <c r="V45" s="5"/>
      <c r="W45" s="5"/>
      <c r="X45" s="5"/>
      <c r="Y45" s="2"/>
      <c r="Z45" s="2"/>
      <c r="AA45" s="2"/>
      <c r="AB45" s="2"/>
      <c r="AC45" s="2"/>
      <c r="AD45" s="2"/>
      <c r="AE45" s="2"/>
      <c r="AF45" s="2"/>
      <c r="AG45" s="2"/>
      <c r="AH45" s="2"/>
    </row>
    <row r="46" spans="1:34" s="4" customForma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3"/>
      <c r="O46" s="3"/>
      <c r="V46" s="5"/>
      <c r="W46" s="5"/>
      <c r="X46" s="5"/>
      <c r="Y46" s="2"/>
      <c r="Z46" s="2"/>
      <c r="AA46" s="2"/>
      <c r="AB46" s="2"/>
      <c r="AC46" s="2"/>
      <c r="AD46" s="2"/>
      <c r="AE46" s="2"/>
      <c r="AF46" s="2"/>
      <c r="AG46" s="2"/>
      <c r="AH46" s="2"/>
    </row>
    <row r="47" spans="1:34" s="4" customForma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3"/>
      <c r="O47" s="3"/>
      <c r="V47" s="5"/>
      <c r="W47" s="5"/>
      <c r="X47" s="5"/>
      <c r="Y47" s="2"/>
      <c r="Z47" s="2"/>
      <c r="AA47" s="2"/>
      <c r="AB47" s="2"/>
      <c r="AC47" s="2"/>
      <c r="AD47" s="2"/>
      <c r="AE47" s="2"/>
      <c r="AF47" s="2"/>
      <c r="AG47" s="2"/>
      <c r="AH47" s="2"/>
    </row>
    <row r="48" spans="1:34" s="4" customForma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3"/>
      <c r="O48" s="3"/>
      <c r="V48" s="5"/>
      <c r="W48" s="5"/>
      <c r="X48" s="5"/>
      <c r="Y48" s="2"/>
      <c r="Z48" s="2"/>
      <c r="AA48" s="2"/>
      <c r="AB48" s="2"/>
      <c r="AC48" s="2"/>
      <c r="AD48" s="2"/>
      <c r="AE48" s="2"/>
      <c r="AF48" s="2"/>
      <c r="AG48" s="2"/>
      <c r="AH48" s="2"/>
    </row>
    <row r="49" spans="14:24" s="2" customFormat="1" x14ac:dyDescent="0.2">
      <c r="N49" s="3"/>
      <c r="O49" s="3"/>
      <c r="P49" s="4"/>
      <c r="Q49" s="4"/>
      <c r="R49" s="4"/>
      <c r="S49" s="4"/>
      <c r="T49" s="4"/>
      <c r="U49" s="4"/>
      <c r="V49" s="5"/>
      <c r="W49" s="5"/>
      <c r="X49" s="5"/>
    </row>
    <row r="50" spans="14:24" s="2" customFormat="1" x14ac:dyDescent="0.2">
      <c r="N50" s="3"/>
      <c r="O50" s="3"/>
      <c r="P50" s="4"/>
      <c r="Q50" s="4"/>
      <c r="R50" s="4"/>
      <c r="S50" s="4"/>
      <c r="T50" s="4"/>
      <c r="U50" s="4"/>
      <c r="V50" s="5"/>
      <c r="W50" s="5"/>
      <c r="X50" s="5"/>
    </row>
    <row r="51" spans="14:24" s="2" customFormat="1" x14ac:dyDescent="0.2">
      <c r="N51" s="3"/>
      <c r="O51" s="3"/>
      <c r="P51" s="4"/>
      <c r="Q51" s="4"/>
      <c r="R51" s="4"/>
      <c r="S51" s="4"/>
      <c r="T51" s="4"/>
      <c r="U51" s="4"/>
      <c r="V51" s="5"/>
      <c r="W51" s="5"/>
      <c r="X51" s="5"/>
    </row>
  </sheetData>
  <sheetProtection password="CB01" sheet="1" objects="1" scenarios="1" insertRows="0" deleteRows="0" selectLockedCells="1"/>
  <mergeCells count="4">
    <mergeCell ref="F1:G11"/>
    <mergeCell ref="B21:B23"/>
    <mergeCell ref="C21:C23"/>
    <mergeCell ref="D21:D23"/>
  </mergeCells>
  <conditionalFormatting sqref="J14">
    <cfRule type="cellIs" dxfId="9" priority="5" operator="equal">
      <formula>"""RECONCILE"""</formula>
    </cfRule>
  </conditionalFormatting>
  <conditionalFormatting sqref="H1">
    <cfRule type="cellIs" dxfId="8" priority="4" operator="equal">
      <formula>"RECONCILE"</formula>
    </cfRule>
  </conditionalFormatting>
  <conditionalFormatting sqref="F1">
    <cfRule type="cellIs" dxfId="7" priority="2" operator="equal">
      <formula>"RECONCILE"</formula>
    </cfRule>
    <cfRule type="containsText" dxfId="6" priority="3" operator="containsText" text="RECONCILE">
      <formula>NOT(ISERROR(SEARCH("RECONCILE",F1)))</formula>
    </cfRule>
  </conditionalFormatting>
  <conditionalFormatting sqref="F1:G11">
    <cfRule type="cellIs" dxfId="5" priority="1" operator="equal">
      <formula>"RECONCILE"</formula>
    </cfRule>
  </conditionalFormatting>
  <pageMargins left="0.70866141732283472" right="0.70866141732283472" top="0.74803149606299213" bottom="0.74803149606299213" header="0.31496062992125984" footer="0.31496062992125984"/>
  <pageSetup paperSize="9" fitToHeight="0" orientation="landscape" r:id="rId1"/>
  <headerFooter>
    <oddHeader>&amp;LYear End Wizard 2012</oddHeader>
    <oddFooter>&amp;LYear End 2012</oddFooter>
  </headerFooter>
  <drawing r:id="rId2"/>
  <legacyDrawing r:id="rId3"/>
  <controls>
    <mc:AlternateContent xmlns:mc="http://schemas.openxmlformats.org/markup-compatibility/2006">
      <mc:Choice Requires="x14">
        <control shapeId="2051" r:id="rId4" name="CommandButton3">
          <controlPr defaultSize="0" autoLine="0" r:id="rId5">
            <anchor moveWithCells="1">
              <from>
                <xdr:col>9</xdr:col>
                <xdr:colOff>38100</xdr:colOff>
                <xdr:row>20</xdr:row>
                <xdr:rowOff>76200</xdr:rowOff>
              </from>
              <to>
                <xdr:col>11</xdr:col>
                <xdr:colOff>438150</xdr:colOff>
                <xdr:row>23</xdr:row>
                <xdr:rowOff>104775</xdr:rowOff>
              </to>
            </anchor>
          </controlPr>
        </control>
      </mc:Choice>
      <mc:Fallback>
        <control shapeId="2051" r:id="rId4" name="CommandButton3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autoLine="0" r:id="rId7">
            <anchor moveWithCells="1">
              <from>
                <xdr:col>6</xdr:col>
                <xdr:colOff>971550</xdr:colOff>
                <xdr:row>20</xdr:row>
                <xdr:rowOff>85725</xdr:rowOff>
              </from>
              <to>
                <xdr:col>8</xdr:col>
                <xdr:colOff>571500</xdr:colOff>
                <xdr:row>23</xdr:row>
                <xdr:rowOff>114300</xdr:rowOff>
              </to>
            </anchor>
          </controlPr>
        </control>
      </mc:Choice>
      <mc:Fallback>
        <control shapeId="2050" r:id="rId6" name="CommandButton2"/>
      </mc:Fallback>
    </mc:AlternateContent>
    <mc:AlternateContent xmlns:mc="http://schemas.openxmlformats.org/markup-compatibility/2006">
      <mc:Choice Requires="x14">
        <control shapeId="2049" r:id="rId8" name="CommandButton1">
          <controlPr defaultSize="0" autoLine="0" r:id="rId9">
            <anchor moveWithCells="1">
              <from>
                <xdr:col>4</xdr:col>
                <xdr:colOff>590550</xdr:colOff>
                <xdr:row>20</xdr:row>
                <xdr:rowOff>95250</xdr:rowOff>
              </from>
              <to>
                <xdr:col>6</xdr:col>
                <xdr:colOff>885825</xdr:colOff>
                <xdr:row>23</xdr:row>
                <xdr:rowOff>123825</xdr:rowOff>
              </to>
            </anchor>
          </controlPr>
        </control>
      </mc:Choice>
      <mc:Fallback>
        <control shapeId="2049" r:id="rId8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8CB61D"/>
    <pageSetUpPr fitToPage="1"/>
  </sheetPr>
  <dimension ref="A1:Z51"/>
  <sheetViews>
    <sheetView zoomScale="90" zoomScaleNormal="90" workbookViewId="0">
      <selection activeCell="B21" sqref="B21"/>
    </sheetView>
  </sheetViews>
  <sheetFormatPr defaultRowHeight="14.25" x14ac:dyDescent="0.2"/>
  <cols>
    <col min="1" max="1" width="41.5703125" style="5" customWidth="1"/>
    <col min="2" max="2" width="25.140625" style="5" customWidth="1"/>
    <col min="3" max="3" width="23.7109375" style="5" customWidth="1"/>
    <col min="4" max="4" width="23.42578125" style="5" customWidth="1"/>
    <col min="5" max="6" width="9.140625" style="2"/>
    <col min="7" max="7" width="20.42578125" style="2" customWidth="1"/>
    <col min="8" max="9" width="9.140625" style="2"/>
    <col min="10" max="10" width="9.140625" style="2" customWidth="1"/>
    <col min="11" max="14" width="9.140625" style="4" customWidth="1"/>
    <col min="15" max="15" width="9.140625" style="4" hidden="1" customWidth="1"/>
    <col min="16" max="16" width="10.5703125" style="4" hidden="1" customWidth="1"/>
    <col min="17" max="17" width="9.140625" style="4" hidden="1" customWidth="1"/>
    <col min="18" max="18" width="11.42578125" style="4" hidden="1" customWidth="1"/>
    <col min="19" max="19" width="14.5703125" style="4" hidden="1" customWidth="1"/>
    <col min="20" max="23" width="9.140625" style="2" hidden="1" customWidth="1"/>
    <col min="24" max="24" width="9.140625" style="2" customWidth="1"/>
    <col min="25" max="26" width="9.140625" style="2"/>
    <col min="27" max="16384" width="9.140625" style="5"/>
  </cols>
  <sheetData>
    <row r="1" spans="1:23" s="2" customFormat="1" ht="28.5" customHeight="1" x14ac:dyDescent="0.25">
      <c r="A1" s="11" t="s">
        <v>0</v>
      </c>
      <c r="B1" s="11" t="s">
        <v>1</v>
      </c>
      <c r="C1" s="11" t="s">
        <v>2</v>
      </c>
      <c r="D1" s="11" t="s">
        <v>3</v>
      </c>
      <c r="F1" s="16" t="str">
        <f ca="1">T34</f>
        <v>RECONCILED SUCCESSFULLY!!</v>
      </c>
      <c r="G1" s="16"/>
      <c r="K1" s="4"/>
      <c r="L1" s="4"/>
      <c r="M1" s="4"/>
      <c r="N1" s="4"/>
      <c r="O1" s="4"/>
      <c r="P1" s="4" t="b">
        <v>1</v>
      </c>
      <c r="Q1" s="4" t="b">
        <v>0</v>
      </c>
      <c r="R1" s="4"/>
      <c r="S1" s="4"/>
    </row>
    <row r="2" spans="1:23" s="2" customFormat="1" ht="15" customHeight="1" x14ac:dyDescent="0.2">
      <c r="A2" s="10" t="s">
        <v>4</v>
      </c>
      <c r="B2" s="14"/>
      <c r="C2" s="14"/>
      <c r="D2" s="14"/>
      <c r="F2" s="16"/>
      <c r="G2" s="16"/>
      <c r="K2" s="4"/>
      <c r="L2" s="4"/>
      <c r="M2" s="4"/>
      <c r="N2" s="4"/>
      <c r="O2" s="4"/>
      <c r="P2" s="4"/>
      <c r="Q2" s="4"/>
      <c r="R2" s="4"/>
      <c r="S2" s="4"/>
    </row>
    <row r="3" spans="1:23" s="2" customFormat="1" ht="15" customHeight="1" x14ac:dyDescent="0.2">
      <c r="A3" s="10" t="s">
        <v>5</v>
      </c>
      <c r="B3" s="14"/>
      <c r="C3" s="14"/>
      <c r="D3" s="14"/>
      <c r="F3" s="16"/>
      <c r="G3" s="16"/>
      <c r="K3" s="4"/>
      <c r="L3" s="4" t="s">
        <v>6</v>
      </c>
      <c r="M3" s="4"/>
      <c r="N3" s="4"/>
      <c r="O3" s="4"/>
      <c r="P3" s="4"/>
      <c r="Q3" s="4"/>
      <c r="R3" s="4"/>
      <c r="S3" s="4"/>
    </row>
    <row r="4" spans="1:23" s="2" customFormat="1" ht="15" customHeight="1" x14ac:dyDescent="0.2">
      <c r="A4" s="10" t="s">
        <v>7</v>
      </c>
      <c r="B4" s="14"/>
      <c r="C4" s="14"/>
      <c r="D4" s="14"/>
      <c r="F4" s="16"/>
      <c r="G4" s="16"/>
      <c r="K4" s="4"/>
      <c r="L4" s="4" t="b">
        <f ca="1">B8=B17</f>
        <v>1</v>
      </c>
      <c r="M4" s="4"/>
      <c r="N4" s="4"/>
      <c r="O4" s="4"/>
      <c r="P4" s="4">
        <f ca="1">IF(L4=P1, 1, 0)</f>
        <v>1</v>
      </c>
      <c r="Q4" s="4"/>
      <c r="R4" s="4"/>
      <c r="S4" s="4"/>
    </row>
    <row r="5" spans="1:23" s="2" customFormat="1" ht="15" customHeight="1" x14ac:dyDescent="0.2">
      <c r="A5" s="10" t="s">
        <v>8</v>
      </c>
      <c r="B5" s="14"/>
      <c r="C5" s="14"/>
      <c r="D5" s="14"/>
      <c r="F5" s="16"/>
      <c r="G5" s="16"/>
      <c r="K5" s="4"/>
      <c r="L5" s="4"/>
      <c r="M5" s="4"/>
      <c r="N5" s="4"/>
      <c r="O5" s="4"/>
      <c r="P5" s="4"/>
      <c r="Q5" s="4"/>
      <c r="R5" s="4"/>
      <c r="S5" s="4"/>
    </row>
    <row r="6" spans="1:23" s="2" customFormat="1" x14ac:dyDescent="0.2">
      <c r="A6" s="10" t="s">
        <v>9</v>
      </c>
      <c r="B6" s="14"/>
      <c r="C6" s="14"/>
      <c r="D6" s="14"/>
      <c r="F6" s="16"/>
      <c r="G6" s="16"/>
      <c r="K6" s="4"/>
      <c r="L6" s="4"/>
      <c r="M6" s="4"/>
      <c r="N6" s="4"/>
      <c r="O6" s="4"/>
      <c r="P6" s="4">
        <f ca="1">SUM(P4:P5)</f>
        <v>1</v>
      </c>
      <c r="Q6" s="4"/>
      <c r="R6" s="4"/>
      <c r="S6" s="4"/>
    </row>
    <row r="7" spans="1:23" s="2" customFormat="1" x14ac:dyDescent="0.2">
      <c r="A7" s="10" t="s">
        <v>10</v>
      </c>
      <c r="B7" s="14"/>
      <c r="C7" s="14"/>
      <c r="D7" s="14"/>
      <c r="F7" s="16"/>
      <c r="G7" s="16"/>
      <c r="K7" s="4"/>
      <c r="L7" s="4"/>
      <c r="M7" s="4"/>
      <c r="N7" s="4"/>
      <c r="O7" s="4"/>
      <c r="P7" s="4" t="str">
        <f ca="1">IF(P6=1, "RECONCILE", "ERROR")</f>
        <v>RECONCILE</v>
      </c>
      <c r="Q7" s="4"/>
      <c r="R7" s="4"/>
      <c r="S7" s="4"/>
    </row>
    <row r="8" spans="1:23" s="2" customFormat="1" ht="15" x14ac:dyDescent="0.25">
      <c r="A8" s="12" t="s">
        <v>11</v>
      </c>
      <c r="B8" s="12">
        <f ca="1">SUM(INDIRECT("B2"):OFFSET($B$8,-1,))</f>
        <v>0</v>
      </c>
      <c r="C8" s="12">
        <f ca="1">SUM(INDIRECT("C2"):OFFSET($C$8,-1,))</f>
        <v>0</v>
      </c>
      <c r="D8" s="12">
        <f ca="1">SUM(INDIRECT("D2"):OFFSET($D$8,-1,))</f>
        <v>0</v>
      </c>
      <c r="F8" s="16"/>
      <c r="G8" s="16"/>
      <c r="K8" s="4"/>
      <c r="L8" s="4" t="str">
        <f ca="1">IF(P7="ERROR","PLEASE CHECK YOUR GROSS FIGURES","")</f>
        <v/>
      </c>
      <c r="M8" s="4"/>
      <c r="N8" s="4"/>
      <c r="O8" s="4"/>
      <c r="P8" s="4"/>
      <c r="Q8" s="4"/>
      <c r="R8" s="4"/>
      <c r="S8" s="4"/>
    </row>
    <row r="9" spans="1:23" s="2" customFormat="1" x14ac:dyDescent="0.2">
      <c r="A9" s="6"/>
      <c r="B9" s="6"/>
      <c r="C9" s="6"/>
      <c r="D9" s="6"/>
      <c r="F9" s="16"/>
      <c r="G9" s="16"/>
      <c r="K9" s="4"/>
      <c r="L9" s="4"/>
      <c r="M9" s="4"/>
      <c r="N9" s="4"/>
      <c r="O9" s="4"/>
      <c r="P9" s="4"/>
      <c r="Q9" s="4"/>
      <c r="R9" s="4"/>
      <c r="S9" s="4"/>
    </row>
    <row r="10" spans="1:23" s="2" customFormat="1" ht="15" x14ac:dyDescent="0.25">
      <c r="A10" s="11" t="s">
        <v>12</v>
      </c>
      <c r="B10" s="11" t="s">
        <v>1</v>
      </c>
      <c r="C10" s="11" t="s">
        <v>2</v>
      </c>
      <c r="D10" s="11" t="s">
        <v>3</v>
      </c>
      <c r="F10" s="16"/>
      <c r="G10" s="16"/>
      <c r="K10" s="4"/>
      <c r="L10" s="4"/>
      <c r="M10" s="4"/>
      <c r="N10" s="4"/>
      <c r="O10" s="4"/>
      <c r="P10" s="4"/>
      <c r="Q10" s="4"/>
      <c r="R10" s="4"/>
      <c r="S10" s="4"/>
    </row>
    <row r="11" spans="1:23" s="2" customFormat="1" x14ac:dyDescent="0.2">
      <c r="A11" s="10" t="s">
        <v>4</v>
      </c>
      <c r="B11" s="10"/>
      <c r="C11" s="10"/>
      <c r="D11" s="10"/>
      <c r="F11" s="16"/>
      <c r="G11" s="16"/>
      <c r="K11" s="4"/>
      <c r="L11" s="4"/>
      <c r="M11" s="4"/>
      <c r="N11" s="4"/>
      <c r="O11" s="4"/>
      <c r="P11" s="4"/>
      <c r="Q11" s="4"/>
      <c r="R11" s="4"/>
      <c r="S11" s="4"/>
    </row>
    <row r="12" spans="1:23" s="2" customFormat="1" ht="15" x14ac:dyDescent="0.25">
      <c r="A12" s="10" t="s">
        <v>5</v>
      </c>
      <c r="B12" s="10"/>
      <c r="C12" s="10"/>
      <c r="D12" s="10"/>
      <c r="K12" s="4"/>
      <c r="L12" s="4" t="s">
        <v>13</v>
      </c>
      <c r="M12" s="4"/>
      <c r="N12" s="4"/>
      <c r="O12" s="4"/>
      <c r="P12" s="4"/>
      <c r="Q12" s="4"/>
      <c r="R12" s="4"/>
      <c r="S12" s="4"/>
      <c r="W12" s="9" t="str">
        <f ca="1">IF(S32="RECONCILE", "YOUR FIGURES DO NOT RECONCILE", "")</f>
        <v/>
      </c>
    </row>
    <row r="13" spans="1:23" s="2" customFormat="1" ht="15" x14ac:dyDescent="0.25">
      <c r="A13" s="10" t="s">
        <v>7</v>
      </c>
      <c r="B13" s="10"/>
      <c r="C13" s="10"/>
      <c r="D13" s="10"/>
      <c r="F13" s="9"/>
      <c r="K13" s="4"/>
      <c r="L13" s="4" t="b">
        <f ca="1">C8=C17</f>
        <v>1</v>
      </c>
      <c r="M13" s="4"/>
      <c r="N13" s="4"/>
      <c r="O13" s="4"/>
      <c r="P13" s="4">
        <f ca="1">IF(L13=P1, 1, 0)</f>
        <v>1</v>
      </c>
      <c r="Q13" s="4"/>
      <c r="R13" s="4"/>
      <c r="S13" s="4"/>
    </row>
    <row r="14" spans="1:23" s="2" customFormat="1" ht="15" x14ac:dyDescent="0.25">
      <c r="A14" s="10" t="s">
        <v>8</v>
      </c>
      <c r="B14" s="10"/>
      <c r="C14" s="10"/>
      <c r="D14" s="10"/>
      <c r="F14" s="9"/>
      <c r="K14" s="4"/>
      <c r="L14" s="4"/>
      <c r="M14" s="4"/>
      <c r="N14" s="4"/>
      <c r="O14" s="4"/>
      <c r="P14" s="4"/>
      <c r="Q14" s="4"/>
      <c r="R14" s="4"/>
      <c r="S14" s="4"/>
    </row>
    <row r="15" spans="1:23" s="2" customFormat="1" ht="15" x14ac:dyDescent="0.25">
      <c r="A15" s="10" t="s">
        <v>9</v>
      </c>
      <c r="B15" s="10"/>
      <c r="C15" s="10"/>
      <c r="D15" s="10"/>
      <c r="F15" s="9"/>
      <c r="K15" s="4"/>
      <c r="L15" s="4"/>
      <c r="M15" s="4"/>
      <c r="N15" s="4"/>
      <c r="O15" s="4"/>
      <c r="P15" s="4"/>
      <c r="Q15" s="4"/>
      <c r="R15" s="4"/>
      <c r="S15" s="4"/>
    </row>
    <row r="16" spans="1:23" s="2" customFormat="1" ht="15" x14ac:dyDescent="0.25">
      <c r="A16" s="10" t="s">
        <v>10</v>
      </c>
      <c r="B16" s="10"/>
      <c r="C16" s="10"/>
      <c r="D16" s="10"/>
      <c r="F16" s="9"/>
      <c r="K16" s="4"/>
      <c r="L16" s="4"/>
      <c r="M16" s="4"/>
      <c r="N16" s="4"/>
      <c r="O16" s="4"/>
      <c r="P16" s="4"/>
      <c r="Q16" s="4"/>
      <c r="R16" s="4"/>
      <c r="S16" s="4"/>
    </row>
    <row r="17" spans="1:20" s="2" customFormat="1" ht="15" x14ac:dyDescent="0.25">
      <c r="A17" s="12" t="s">
        <v>11</v>
      </c>
      <c r="B17" s="12">
        <f ca="1">SUM(INDIRECT("B11"):OFFSET($B$17,-1,))</f>
        <v>0</v>
      </c>
      <c r="C17" s="12">
        <f ca="1">SUM(INDIRECT("C11"):OFFSET($C$17,-1,))</f>
        <v>0</v>
      </c>
      <c r="D17" s="12">
        <f ca="1">SUM(INDIRECT("D11"):OFFSET($D$17,-1,))</f>
        <v>0</v>
      </c>
      <c r="F17" s="9"/>
      <c r="K17" s="4"/>
      <c r="L17" s="4"/>
      <c r="M17" s="4"/>
      <c r="N17" s="4"/>
      <c r="O17" s="4"/>
      <c r="P17" s="4">
        <f ca="1">SUM(P13:P16)</f>
        <v>1</v>
      </c>
      <c r="Q17" s="4"/>
      <c r="R17" s="4"/>
      <c r="S17" s="4"/>
    </row>
    <row r="18" spans="1:20" s="2" customFormat="1" ht="15" x14ac:dyDescent="0.25">
      <c r="F18" s="9"/>
      <c r="K18" s="4"/>
      <c r="L18" s="4" t="str">
        <f ca="1">IF(P18="ERROR","PLEASE CHECK YOUR TAX FIGURES","")</f>
        <v/>
      </c>
      <c r="M18" s="4"/>
      <c r="N18" s="4"/>
      <c r="O18" s="4"/>
      <c r="P18" s="4" t="str">
        <f ca="1">IF(P17=1, "RECONCILE", "ERROR")</f>
        <v>RECONCILE</v>
      </c>
      <c r="Q18" s="4"/>
      <c r="R18" s="4"/>
      <c r="S18" s="4"/>
    </row>
    <row r="19" spans="1:20" s="2" customFormat="1" ht="15" x14ac:dyDescent="0.25">
      <c r="A19" s="11" t="s">
        <v>14</v>
      </c>
      <c r="B19" s="11" t="s">
        <v>15</v>
      </c>
      <c r="F19" s="9"/>
      <c r="K19" s="4"/>
      <c r="L19" s="4" t="s">
        <v>16</v>
      </c>
      <c r="M19" s="4"/>
      <c r="N19" s="4"/>
      <c r="O19" s="4"/>
      <c r="P19" s="4"/>
      <c r="Q19" s="4"/>
      <c r="R19" s="4"/>
      <c r="S19" s="4"/>
    </row>
    <row r="20" spans="1:20" s="2" customFormat="1" ht="15" x14ac:dyDescent="0.25">
      <c r="A20" s="10" t="s">
        <v>4</v>
      </c>
      <c r="B20" s="10"/>
      <c r="F20" s="9"/>
      <c r="K20" s="4"/>
      <c r="L20" s="4" t="b">
        <f ca="1">D8=D17</f>
        <v>1</v>
      </c>
      <c r="M20" s="4"/>
      <c r="N20" s="4"/>
      <c r="O20" s="4"/>
      <c r="P20" s="4">
        <f ca="1">IF(L20=P1, 1, 0)</f>
        <v>1</v>
      </c>
      <c r="Q20" s="4"/>
      <c r="R20" s="4"/>
      <c r="S20" s="4"/>
    </row>
    <row r="21" spans="1:20" s="2" customFormat="1" ht="15" customHeight="1" x14ac:dyDescent="0.25">
      <c r="A21" s="10" t="s">
        <v>5</v>
      </c>
      <c r="B21" s="10"/>
      <c r="C21" s="9" t="str">
        <f ca="1">L8</f>
        <v/>
      </c>
      <c r="F21" s="9"/>
      <c r="K21" s="4"/>
      <c r="L21" s="4" t="b">
        <f ca="1">B26=D17</f>
        <v>1</v>
      </c>
      <c r="M21" s="4"/>
      <c r="N21" s="4"/>
      <c r="O21" s="4"/>
      <c r="P21" s="4">
        <f ca="1">IF(L21=P1, 1, 0)</f>
        <v>1</v>
      </c>
      <c r="Q21" s="4"/>
      <c r="R21" s="4"/>
      <c r="S21" s="4"/>
    </row>
    <row r="22" spans="1:20" s="2" customFormat="1" ht="15" x14ac:dyDescent="0.25">
      <c r="A22" s="10" t="s">
        <v>7</v>
      </c>
      <c r="B22" s="10"/>
      <c r="C22" s="9" t="str">
        <f ca="1">L18</f>
        <v/>
      </c>
      <c r="F22" s="9"/>
      <c r="K22" s="4"/>
      <c r="L22" s="4" t="b">
        <f ca="1">D8=B26</f>
        <v>1</v>
      </c>
      <c r="M22" s="4"/>
      <c r="N22" s="4"/>
      <c r="O22" s="4"/>
      <c r="P22" s="4">
        <f ca="1">SUM(P20:P21)</f>
        <v>2</v>
      </c>
      <c r="Q22" s="4"/>
      <c r="R22" s="4"/>
      <c r="S22" s="4"/>
    </row>
    <row r="23" spans="1:20" s="2" customFormat="1" ht="15" x14ac:dyDescent="0.25">
      <c r="A23" s="10" t="s">
        <v>8</v>
      </c>
      <c r="B23" s="10"/>
      <c r="C23" s="9" t="str">
        <f ca="1">L23</f>
        <v/>
      </c>
      <c r="K23" s="4"/>
      <c r="L23" s="4" t="str">
        <f ca="1">IF(P23="ERROR","PLEASE CHECK YOUR NET FIGURES","")</f>
        <v/>
      </c>
      <c r="M23" s="4"/>
      <c r="N23" s="4"/>
      <c r="O23" s="4"/>
      <c r="P23" s="4" t="str">
        <f ca="1">IF(P22=2, "RECONCILE", "ERROR")</f>
        <v>RECONCILE</v>
      </c>
      <c r="Q23" s="4"/>
      <c r="R23" s="4"/>
      <c r="S23" s="4"/>
    </row>
    <row r="24" spans="1:20" s="2" customFormat="1" x14ac:dyDescent="0.2">
      <c r="A24" s="10" t="s">
        <v>9</v>
      </c>
      <c r="B24" s="10"/>
      <c r="K24" s="4"/>
      <c r="L24" s="4"/>
      <c r="M24" s="4"/>
      <c r="N24" s="4"/>
      <c r="O24" s="4"/>
      <c r="P24" s="4"/>
      <c r="Q24" s="4"/>
      <c r="R24" s="4"/>
      <c r="S24" s="4"/>
    </row>
    <row r="25" spans="1:20" s="2" customFormat="1" x14ac:dyDescent="0.2">
      <c r="A25" s="10" t="s">
        <v>10</v>
      </c>
      <c r="B25" s="10"/>
      <c r="K25" s="4"/>
      <c r="L25" s="4"/>
      <c r="M25" s="4"/>
      <c r="N25" s="4"/>
      <c r="O25" s="4"/>
      <c r="P25" s="4">
        <f ca="1">P22+P17+P6</f>
        <v>4</v>
      </c>
      <c r="Q25" s="4">
        <v>4</v>
      </c>
      <c r="R25" s="4"/>
      <c r="S25" s="4"/>
    </row>
    <row r="26" spans="1:20" s="2" customFormat="1" ht="15" x14ac:dyDescent="0.25">
      <c r="A26" s="12" t="s">
        <v>11</v>
      </c>
      <c r="B26" s="12">
        <f ca="1">SUM(INDIRECT("B20"):OFFSET($B$26,-1,))</f>
        <v>0</v>
      </c>
      <c r="K26" s="4"/>
      <c r="L26" s="4"/>
      <c r="M26" s="4"/>
      <c r="N26" s="4"/>
      <c r="O26" s="4"/>
      <c r="P26" s="4" t="b">
        <f ca="1">P25=Q25</f>
        <v>1</v>
      </c>
      <c r="Q26" s="4"/>
      <c r="R26" s="4"/>
      <c r="S26" s="4"/>
    </row>
    <row r="27" spans="1:20" s="2" customFormat="1" x14ac:dyDescent="0.2">
      <c r="K27" s="4"/>
      <c r="L27" s="4"/>
      <c r="M27" s="4"/>
      <c r="N27" s="4"/>
      <c r="O27" s="4"/>
      <c r="P27" s="4"/>
      <c r="Q27" s="4"/>
      <c r="R27" s="4"/>
      <c r="S27" s="4"/>
    </row>
    <row r="28" spans="1:20" s="2" customFormat="1" x14ac:dyDescent="0.2">
      <c r="K28" s="4"/>
      <c r="L28" s="4"/>
      <c r="M28" s="4"/>
      <c r="N28" s="4"/>
      <c r="O28" s="4"/>
      <c r="P28" s="4"/>
      <c r="Q28" s="4"/>
      <c r="R28" s="4"/>
      <c r="S28" s="4"/>
    </row>
    <row r="29" spans="1:20" s="2" customFormat="1" x14ac:dyDescent="0.2">
      <c r="K29" s="4"/>
      <c r="L29" s="4"/>
      <c r="M29" s="4"/>
      <c r="N29" s="4"/>
      <c r="O29" s="4"/>
      <c r="P29" s="4"/>
      <c r="Q29" s="4"/>
      <c r="R29" s="4"/>
      <c r="S29" s="4"/>
    </row>
    <row r="30" spans="1:20" s="2" customFormat="1" x14ac:dyDescent="0.2">
      <c r="K30" s="4"/>
      <c r="L30" s="4"/>
      <c r="M30" s="4"/>
      <c r="N30" s="4"/>
      <c r="O30" s="4"/>
      <c r="P30" s="4"/>
      <c r="Q30" s="4" t="str">
        <f>IF(P27= "ERROR", "PLEASE CHECK YOUR YTD NET FIGURES","")</f>
        <v/>
      </c>
      <c r="R30" s="4"/>
      <c r="S30" s="4" t="str">
        <f>IF(S29=2, "RECONCILE", "ERROR")</f>
        <v>ERROR</v>
      </c>
    </row>
    <row r="31" spans="1:20" s="2" customFormat="1" x14ac:dyDescent="0.2">
      <c r="K31" s="4"/>
      <c r="L31" s="4"/>
      <c r="M31" s="4"/>
      <c r="N31" s="4"/>
      <c r="O31" s="4"/>
      <c r="P31" s="4"/>
      <c r="Q31" s="4"/>
      <c r="R31" s="4"/>
      <c r="S31" s="4">
        <f ca="1">P17+P22+P6</f>
        <v>4</v>
      </c>
      <c r="T31" s="2">
        <v>4</v>
      </c>
    </row>
    <row r="32" spans="1:20" s="2" customFormat="1" x14ac:dyDescent="0.2">
      <c r="K32" s="4"/>
      <c r="L32" s="4"/>
      <c r="M32" s="4"/>
      <c r="N32" s="4"/>
      <c r="O32" s="4"/>
      <c r="P32" s="4"/>
      <c r="Q32" s="4"/>
      <c r="R32" s="4"/>
      <c r="S32" s="4" t="b">
        <f ca="1">S31=T31</f>
        <v>1</v>
      </c>
      <c r="T32" s="2" t="b">
        <f>NOT(T31=15)</f>
        <v>1</v>
      </c>
    </row>
    <row r="33" spans="2:20" s="2" customFormat="1" x14ac:dyDescent="0.2">
      <c r="K33" s="4"/>
      <c r="L33" s="4"/>
      <c r="M33" s="4"/>
      <c r="N33" s="4"/>
      <c r="O33" s="4"/>
      <c r="P33" s="4"/>
      <c r="Q33" s="4"/>
      <c r="R33" s="4"/>
      <c r="S33" s="4"/>
    </row>
    <row r="34" spans="2:20" s="2" customFormat="1" x14ac:dyDescent="0.2">
      <c r="K34" s="4"/>
      <c r="L34" s="4"/>
      <c r="M34" s="4"/>
      <c r="N34" s="4"/>
      <c r="O34" s="4"/>
      <c r="P34" s="4"/>
      <c r="Q34" s="4"/>
      <c r="R34" s="4"/>
      <c r="S34" s="4"/>
      <c r="T34" s="2" t="str">
        <f ca="1">IF(S31=4, "RECONCILED SUCCESSFULLY!!", "Your figures do not reconcile, please adjust the totals affected")</f>
        <v>RECONCILED SUCCESSFULLY!!</v>
      </c>
    </row>
    <row r="35" spans="2:20" s="2" customFormat="1" x14ac:dyDescent="0.2">
      <c r="K35" s="4"/>
      <c r="L35" s="4"/>
      <c r="M35" s="4"/>
      <c r="N35" s="4"/>
      <c r="O35" s="4"/>
      <c r="P35" s="4"/>
      <c r="Q35" s="4"/>
      <c r="R35" s="4"/>
      <c r="S35" s="4"/>
    </row>
    <row r="36" spans="2:20" s="2" customFormat="1" x14ac:dyDescent="0.2">
      <c r="K36" s="4"/>
      <c r="L36" s="4"/>
      <c r="M36" s="4"/>
      <c r="N36" s="4"/>
      <c r="O36" s="4"/>
      <c r="P36" s="4"/>
      <c r="Q36" s="4"/>
      <c r="R36" s="4"/>
      <c r="S36" s="4"/>
    </row>
    <row r="37" spans="2:20" s="2" customFormat="1" x14ac:dyDescent="0.2">
      <c r="K37" s="4"/>
      <c r="L37" s="4"/>
      <c r="M37" s="4"/>
      <c r="N37" s="4"/>
      <c r="O37" s="4"/>
      <c r="P37" s="4"/>
      <c r="Q37" s="4"/>
      <c r="R37" s="4"/>
      <c r="S37" s="4"/>
    </row>
    <row r="38" spans="2:20" s="2" customFormat="1" x14ac:dyDescent="0.2">
      <c r="K38" s="4"/>
      <c r="L38" s="4"/>
      <c r="M38" s="4"/>
      <c r="N38" s="4"/>
      <c r="O38" s="4"/>
      <c r="P38" s="4"/>
      <c r="Q38" s="4"/>
      <c r="R38" s="4"/>
      <c r="S38" s="4"/>
    </row>
    <row r="39" spans="2:20" s="2" customFormat="1" x14ac:dyDescent="0.2">
      <c r="K39" s="4"/>
      <c r="L39" s="4"/>
      <c r="M39" s="4"/>
      <c r="N39" s="4"/>
      <c r="O39" s="4"/>
      <c r="P39" s="4"/>
      <c r="Q39" s="4"/>
      <c r="R39" s="4"/>
      <c r="S39" s="4"/>
    </row>
    <row r="40" spans="2:20" s="2" customFormat="1" x14ac:dyDescent="0.2">
      <c r="K40" s="4"/>
      <c r="L40" s="4"/>
      <c r="M40" s="4"/>
      <c r="N40" s="4"/>
      <c r="O40" s="4"/>
      <c r="P40" s="4"/>
      <c r="Q40" s="4"/>
      <c r="R40" s="4"/>
      <c r="S40" s="4"/>
    </row>
    <row r="41" spans="2:20" s="2" customFormat="1" x14ac:dyDescent="0.2">
      <c r="K41" s="4"/>
      <c r="L41" s="4"/>
      <c r="M41" s="4"/>
      <c r="N41" s="4"/>
      <c r="O41" s="4"/>
      <c r="P41" s="4"/>
      <c r="Q41" s="4"/>
      <c r="R41" s="4"/>
      <c r="S41" s="4"/>
    </row>
    <row r="42" spans="2:20" s="2" customFormat="1" x14ac:dyDescent="0.2">
      <c r="K42" s="4"/>
      <c r="L42" s="4"/>
      <c r="M42" s="4"/>
      <c r="N42" s="4"/>
      <c r="O42" s="4"/>
      <c r="P42" s="4"/>
      <c r="Q42" s="4"/>
      <c r="R42" s="4"/>
      <c r="S42" s="4"/>
    </row>
    <row r="43" spans="2:20" s="2" customFormat="1" x14ac:dyDescent="0.2">
      <c r="K43" s="4"/>
      <c r="L43" s="4"/>
      <c r="M43" s="4"/>
      <c r="N43" s="4"/>
      <c r="O43" s="4"/>
      <c r="P43" s="4"/>
      <c r="Q43" s="4"/>
      <c r="R43" s="4"/>
      <c r="S43" s="4"/>
    </row>
    <row r="44" spans="2:20" s="2" customFormat="1" x14ac:dyDescent="0.2">
      <c r="B44" s="5"/>
      <c r="C44" s="5"/>
      <c r="K44" s="4"/>
      <c r="L44" s="4"/>
      <c r="M44" s="4"/>
      <c r="N44" s="4"/>
      <c r="O44" s="4"/>
      <c r="P44" s="4"/>
      <c r="Q44" s="4"/>
      <c r="R44" s="4"/>
      <c r="S44" s="4"/>
    </row>
    <row r="45" spans="2:20" s="2" customFormat="1" x14ac:dyDescent="0.2">
      <c r="B45" s="5"/>
      <c r="C45" s="5"/>
      <c r="K45" s="4"/>
      <c r="L45" s="4"/>
      <c r="M45" s="4"/>
      <c r="N45" s="4"/>
      <c r="O45" s="4"/>
      <c r="P45" s="4"/>
      <c r="Q45" s="4"/>
      <c r="R45" s="4"/>
      <c r="S45" s="4"/>
    </row>
    <row r="46" spans="2:20" s="2" customFormat="1" x14ac:dyDescent="0.2">
      <c r="B46" s="5"/>
      <c r="C46" s="5"/>
      <c r="K46" s="4"/>
      <c r="L46" s="4"/>
      <c r="M46" s="4"/>
      <c r="N46" s="4"/>
      <c r="O46" s="4"/>
      <c r="P46" s="4"/>
      <c r="Q46" s="4"/>
      <c r="R46" s="4"/>
      <c r="S46" s="4"/>
    </row>
    <row r="47" spans="2:20" s="2" customFormat="1" x14ac:dyDescent="0.2">
      <c r="B47" s="5"/>
      <c r="C47" s="5"/>
      <c r="K47" s="4"/>
      <c r="L47" s="4"/>
      <c r="M47" s="4"/>
      <c r="N47" s="4"/>
      <c r="O47" s="4"/>
      <c r="P47" s="4"/>
      <c r="Q47" s="4"/>
      <c r="R47" s="4"/>
      <c r="S47" s="4"/>
    </row>
    <row r="48" spans="2:20" s="2" customFormat="1" x14ac:dyDescent="0.2">
      <c r="B48" s="5"/>
      <c r="C48" s="5"/>
      <c r="K48" s="4"/>
      <c r="L48" s="4"/>
      <c r="M48" s="4"/>
      <c r="N48" s="4"/>
      <c r="O48" s="4"/>
      <c r="P48" s="4"/>
      <c r="Q48" s="4"/>
      <c r="R48" s="4"/>
      <c r="S48" s="4"/>
    </row>
    <row r="49" spans="2:19" s="2" customFormat="1" x14ac:dyDescent="0.2">
      <c r="B49" s="5"/>
      <c r="C49" s="5"/>
      <c r="K49" s="4"/>
      <c r="L49" s="4"/>
      <c r="M49" s="4"/>
      <c r="N49" s="4"/>
      <c r="O49" s="4"/>
      <c r="P49" s="4"/>
      <c r="Q49" s="4"/>
      <c r="R49" s="4"/>
      <c r="S49" s="4"/>
    </row>
    <row r="50" spans="2:19" s="2" customFormat="1" x14ac:dyDescent="0.2">
      <c r="B50" s="5"/>
      <c r="C50" s="5"/>
      <c r="K50" s="4"/>
      <c r="L50" s="4"/>
      <c r="M50" s="4"/>
      <c r="N50" s="4"/>
      <c r="O50" s="4"/>
      <c r="P50" s="4"/>
      <c r="Q50" s="4"/>
      <c r="R50" s="4"/>
      <c r="S50" s="4"/>
    </row>
    <row r="51" spans="2:19" s="2" customFormat="1" x14ac:dyDescent="0.2">
      <c r="B51" s="5"/>
      <c r="C51" s="5"/>
      <c r="K51" s="4"/>
      <c r="L51" s="4"/>
      <c r="M51" s="4"/>
      <c r="N51" s="4"/>
      <c r="O51" s="4"/>
      <c r="P51" s="4"/>
      <c r="Q51" s="4"/>
      <c r="R51" s="4"/>
      <c r="S51" s="4"/>
    </row>
  </sheetData>
  <sheetProtection password="CB01" sheet="1" objects="1" scenarios="1" insertRows="0" selectLockedCells="1"/>
  <mergeCells count="1">
    <mergeCell ref="F1:G11"/>
  </mergeCells>
  <conditionalFormatting sqref="J14">
    <cfRule type="cellIs" dxfId="4" priority="5" operator="equal">
      <formula>"""RECONCILE"""</formula>
    </cfRule>
  </conditionalFormatting>
  <conditionalFormatting sqref="H1">
    <cfRule type="cellIs" dxfId="3" priority="4" operator="equal">
      <formula>"RECONCILE"</formula>
    </cfRule>
  </conditionalFormatting>
  <conditionalFormatting sqref="F1">
    <cfRule type="cellIs" dxfId="2" priority="2" operator="equal">
      <formula>"RECONCILE"</formula>
    </cfRule>
    <cfRule type="containsText" dxfId="1" priority="3" operator="containsText" text="RECONCILE">
      <formula>NOT(ISERROR(SEARCH("RECONCILE",F1)))</formula>
    </cfRule>
  </conditionalFormatting>
  <conditionalFormatting sqref="F1:G11">
    <cfRule type="cellIs" dxfId="0" priority="1" operator="equal">
      <formula>"RECONCILE"</formula>
    </cfRule>
  </conditionalFormatting>
  <pageMargins left="0.70866141732283472" right="0.70866141732283472" top="0.74803149606299213" bottom="0.74803149606299213" header="0.31496062992125984" footer="0.31496062992125984"/>
  <pageSetup paperSize="9" fitToHeight="0" orientation="landscape" r:id="rId1"/>
  <headerFooter>
    <oddHeader>&amp;LYear End Wizard 2012</oddHeader>
    <oddFooter>&amp;LYear End 2012</oddFooter>
  </headerFooter>
  <drawing r:id="rId2"/>
  <legacyDrawing r:id="rId3"/>
  <controls>
    <mc:AlternateContent xmlns:mc="http://schemas.openxmlformats.org/markup-compatibility/2006">
      <mc:Choice Requires="x14">
        <control shapeId="1027" r:id="rId4" name="CommandButton3">
          <controlPr defaultSize="0" autoLine="0" r:id="rId5">
            <anchor moveWithCells="1">
              <from>
                <xdr:col>5</xdr:col>
                <xdr:colOff>28575</xdr:colOff>
                <xdr:row>19</xdr:row>
                <xdr:rowOff>142875</xdr:rowOff>
              </from>
              <to>
                <xdr:col>6</xdr:col>
                <xdr:colOff>952500</xdr:colOff>
                <xdr:row>22</xdr:row>
                <xdr:rowOff>114300</xdr:rowOff>
              </to>
            </anchor>
          </controlPr>
        </control>
      </mc:Choice>
      <mc:Fallback>
        <control shapeId="1027" r:id="rId4" name="CommandButton3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5</xdr:col>
                <xdr:colOff>38100</xdr:colOff>
                <xdr:row>16</xdr:row>
                <xdr:rowOff>28575</xdr:rowOff>
              </from>
              <to>
                <xdr:col>6</xdr:col>
                <xdr:colOff>971550</xdr:colOff>
                <xdr:row>19</xdr:row>
                <xdr:rowOff>38100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5</xdr:col>
                <xdr:colOff>19050</xdr:colOff>
                <xdr:row>12</xdr:row>
                <xdr:rowOff>133350</xdr:rowOff>
              </from>
              <to>
                <xdr:col>6</xdr:col>
                <xdr:colOff>971550</xdr:colOff>
                <xdr:row>15</xdr:row>
                <xdr:rowOff>142875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Welcome</vt:lpstr>
      <vt:lpstr>Year End Reconciliation</vt:lpstr>
      <vt:lpstr>Pay Period End Reconciliation</vt:lpstr>
      <vt:lpstr>'Pay Period End Reconciliation'!Print_Area</vt:lpstr>
      <vt:lpstr>'Year End Reconciliation'!Print_Area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Frances Sharkey</dc:creator>
  <cp:lastModifiedBy>Frances Sharkey</cp:lastModifiedBy>
  <dcterms:created xsi:type="dcterms:W3CDTF">2012-03-27T19:50:11Z</dcterms:created>
  <dcterms:modified xsi:type="dcterms:W3CDTF">2012-03-28T05:18:39Z</dcterms:modified>
</cp:coreProperties>
</file>